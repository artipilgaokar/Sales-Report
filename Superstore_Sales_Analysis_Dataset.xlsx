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tip\Downloads\"/>
    </mc:Choice>
  </mc:AlternateContent>
  <bookViews>
    <workbookView xWindow="0" yWindow="0" windowWidth="23040" windowHeight="9072"/>
  </bookViews>
  <sheets>
    <sheet name="Superstore Data" sheetId="1" r:id="rId1"/>
    <sheet name="Data Dictionary" sheetId="2" r:id="rId2"/>
  </sheets>
  <definedNames>
    <definedName name="_xlnm._FilterDatabase" localSheetId="0" hidden="1">'Superstore Data'!$A$1:$Y$31</definedName>
    <definedName name="Slicer_Region_Name">#N/A</definedName>
  </definedNames>
  <calcPr calcId="162913"/>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8" i="1" l="1"/>
  <c r="A35" i="1"/>
  <c r="S32" i="1"/>
  <c r="X32" i="1"/>
  <c r="R32" i="1"/>
  <c r="O32" i="1"/>
</calcChain>
</file>

<file path=xl/sharedStrings.xml><?xml version="1.0" encoding="utf-8"?>
<sst xmlns="http://schemas.openxmlformats.org/spreadsheetml/2006/main" count="477" uniqueCount="230">
  <si>
    <t>Row ID</t>
  </si>
  <si>
    <t>Order ID</t>
  </si>
  <si>
    <t>Order Date</t>
  </si>
  <si>
    <t>Ship Date</t>
  </si>
  <si>
    <t>Ship Mode</t>
  </si>
  <si>
    <t>Customer ID</t>
  </si>
  <si>
    <t>Segment</t>
  </si>
  <si>
    <t>City</t>
  </si>
  <si>
    <t>State</t>
  </si>
  <si>
    <t>Region</t>
  </si>
  <si>
    <t>Category</t>
  </si>
  <si>
    <t>Sub-Category</t>
  </si>
  <si>
    <t>Product Name</t>
  </si>
  <si>
    <t>Sales Channel</t>
  </si>
  <si>
    <t>Sales</t>
  </si>
  <si>
    <t>Quantity</t>
  </si>
  <si>
    <t>Discount</t>
  </si>
  <si>
    <t>Profit</t>
  </si>
  <si>
    <t>Shipping Cost</t>
  </si>
  <si>
    <t>Order Priority</t>
  </si>
  <si>
    <t>Year</t>
  </si>
  <si>
    <t>Month</t>
  </si>
  <si>
    <t>Ship Days</t>
  </si>
  <si>
    <t>Profit Margin</t>
  </si>
  <si>
    <t>Sales per Unit</t>
  </si>
  <si>
    <t>ORD-1001</t>
  </si>
  <si>
    <t>Standard Class</t>
  </si>
  <si>
    <t>C-001</t>
  </si>
  <si>
    <t>Consumer</t>
  </si>
  <si>
    <t>Mumbai</t>
  </si>
  <si>
    <t>Maharashtra</t>
  </si>
  <si>
    <t>West</t>
  </si>
  <si>
    <t>Technology</t>
  </si>
  <si>
    <t>Phones</t>
  </si>
  <si>
    <t>Smartphone</t>
  </si>
  <si>
    <t>Online</t>
  </si>
  <si>
    <t>High</t>
  </si>
  <si>
    <t>January</t>
  </si>
  <si>
    <t>ORD-1002</t>
  </si>
  <si>
    <t>Second Class</t>
  </si>
  <si>
    <t>C-002</t>
  </si>
  <si>
    <t>Corporate</t>
  </si>
  <si>
    <t>Pune</t>
  </si>
  <si>
    <t>Office Supplies</t>
  </si>
  <si>
    <t>Binders</t>
  </si>
  <si>
    <t>File Binder</t>
  </si>
  <si>
    <t>Retail</t>
  </si>
  <si>
    <t>Medium</t>
  </si>
  <si>
    <t>ORD-1003</t>
  </si>
  <si>
    <t>C-003</t>
  </si>
  <si>
    <t>Delhi</t>
  </si>
  <si>
    <t>North</t>
  </si>
  <si>
    <t>Furniture</t>
  </si>
  <si>
    <t>Chairs</t>
  </si>
  <si>
    <t>Office Chair</t>
  </si>
  <si>
    <t>ORD-1004</t>
  </si>
  <si>
    <t>First Class</t>
  </si>
  <si>
    <t>C-004</t>
  </si>
  <si>
    <t>Home Office</t>
  </si>
  <si>
    <t>Bengaluru</t>
  </si>
  <si>
    <t>Karnataka</t>
  </si>
  <si>
    <t>South</t>
  </si>
  <si>
    <t>Accessories</t>
  </si>
  <si>
    <t>Wireless Keyboard</t>
  </si>
  <si>
    <t>February</t>
  </si>
  <si>
    <t>ORD-1005</t>
  </si>
  <si>
    <t>C-005</t>
  </si>
  <si>
    <t>Hyderabad</t>
  </si>
  <si>
    <t>Telangana</t>
  </si>
  <si>
    <t>Paper</t>
  </si>
  <si>
    <t>Printer Paper</t>
  </si>
  <si>
    <t>ORD-1006</t>
  </si>
  <si>
    <t>C-006</t>
  </si>
  <si>
    <t>Ahmedabad</t>
  </si>
  <si>
    <t>Gujarat</t>
  </si>
  <si>
    <t>Copiers</t>
  </si>
  <si>
    <t>Laser Printer</t>
  </si>
  <si>
    <t>ORD-1007</t>
  </si>
  <si>
    <t>C-007</t>
  </si>
  <si>
    <t>Kolkata</t>
  </si>
  <si>
    <t>West Bengal</t>
  </si>
  <si>
    <t>East</t>
  </si>
  <si>
    <t>Tables</t>
  </si>
  <si>
    <t>Work Table</t>
  </si>
  <si>
    <t>March</t>
  </si>
  <si>
    <t>ORD-1008</t>
  </si>
  <si>
    <t>C-008</t>
  </si>
  <si>
    <t>Chennai</t>
  </si>
  <si>
    <t>Tamil Nadu</t>
  </si>
  <si>
    <t>Business Phone</t>
  </si>
  <si>
    <t>ORD-1009</t>
  </si>
  <si>
    <t>C-009</t>
  </si>
  <si>
    <t>Jaipur</t>
  </si>
  <si>
    <t>Rajasthan</t>
  </si>
  <si>
    <t>Storage</t>
  </si>
  <si>
    <t>Storage Box</t>
  </si>
  <si>
    <t>April</t>
  </si>
  <si>
    <t>ORD-1010</t>
  </si>
  <si>
    <t>C-010</t>
  </si>
  <si>
    <t>Surat</t>
  </si>
  <si>
    <t>Bookcases</t>
  </si>
  <si>
    <t>Office Bookcase</t>
  </si>
  <si>
    <t>ORD-1011</t>
  </si>
  <si>
    <t>C-011</t>
  </si>
  <si>
    <t>Lucknow</t>
  </si>
  <si>
    <t>Uttar Pradesh</t>
  </si>
  <si>
    <t>Headset</t>
  </si>
  <si>
    <t>May</t>
  </si>
  <si>
    <t>ORD-1012</t>
  </si>
  <si>
    <t>C-012</t>
  </si>
  <si>
    <t>Kochi</t>
  </si>
  <si>
    <t>Kerala</t>
  </si>
  <si>
    <t>Appliances</t>
  </si>
  <si>
    <t>Desk Lamp</t>
  </si>
  <si>
    <t>ORD-1013</t>
  </si>
  <si>
    <t>C-013</t>
  </si>
  <si>
    <t>Patna</t>
  </si>
  <si>
    <t>Bihar</t>
  </si>
  <si>
    <t>Visitor Chair</t>
  </si>
  <si>
    <t>June</t>
  </si>
  <si>
    <t>ORD-1014</t>
  </si>
  <si>
    <t>C-014</t>
  </si>
  <si>
    <t>Nagpur</t>
  </si>
  <si>
    <t>Laptops</t>
  </si>
  <si>
    <t>Business Laptop</t>
  </si>
  <si>
    <t>ORD-1015</t>
  </si>
  <si>
    <t>C-015</t>
  </si>
  <si>
    <t>Chandigarh</t>
  </si>
  <si>
    <t>Labels</t>
  </si>
  <si>
    <t>Shipping Labels</t>
  </si>
  <si>
    <t>July</t>
  </si>
  <si>
    <t>ORD-1016</t>
  </si>
  <si>
    <t>C-016</t>
  </si>
  <si>
    <t>Coimbatore</t>
  </si>
  <si>
    <t>Conference Table</t>
  </si>
  <si>
    <t>ORD-1017</t>
  </si>
  <si>
    <t>C-017</t>
  </si>
  <si>
    <t>Bhopal</t>
  </si>
  <si>
    <t>Madhya Pradesh</t>
  </si>
  <si>
    <t>Central</t>
  </si>
  <si>
    <t>Monitor</t>
  </si>
  <si>
    <t>August</t>
  </si>
  <si>
    <t>ORD-1018</t>
  </si>
  <si>
    <t>C-018</t>
  </si>
  <si>
    <t>Bhubaneswar</t>
  </si>
  <si>
    <t>Odisha</t>
  </si>
  <si>
    <t>Presentation Binder</t>
  </si>
  <si>
    <t>ORD-1019</t>
  </si>
  <si>
    <t>C-019</t>
  </si>
  <si>
    <t>Gurugram</t>
  </si>
  <si>
    <t>Haryana</t>
  </si>
  <si>
    <t>September</t>
  </si>
  <si>
    <t>ORD-1020</t>
  </si>
  <si>
    <t>C-020</t>
  </si>
  <si>
    <t>Visakhapatnam</t>
  </si>
  <si>
    <t>Andhra Pradesh</t>
  </si>
  <si>
    <t>Furnishings</t>
  </si>
  <si>
    <t>Office Desk</t>
  </si>
  <si>
    <t>ORD-1021</t>
  </si>
  <si>
    <t>C-021</t>
  </si>
  <si>
    <t>Nashik</t>
  </si>
  <si>
    <t>Notebook Pack</t>
  </si>
  <si>
    <t>October</t>
  </si>
  <si>
    <t>ORD-1022</t>
  </si>
  <si>
    <t>C-022</t>
  </si>
  <si>
    <t>Indore</t>
  </si>
  <si>
    <t>Keyboard</t>
  </si>
  <si>
    <t>ORD-1023</t>
  </si>
  <si>
    <t>C-023</t>
  </si>
  <si>
    <t>Amritsar</t>
  </si>
  <si>
    <t>Punjab</t>
  </si>
  <si>
    <t>Ergonomic Chair</t>
  </si>
  <si>
    <t>November</t>
  </si>
  <si>
    <t>ORD-1024</t>
  </si>
  <si>
    <t>C-024</t>
  </si>
  <si>
    <t>Goa</t>
  </si>
  <si>
    <t>Cameras</t>
  </si>
  <si>
    <t>Security Camera</t>
  </si>
  <si>
    <t>ORD-1025</t>
  </si>
  <si>
    <t>C-025</t>
  </si>
  <si>
    <t>Ranchi</t>
  </si>
  <si>
    <t>Jharkhand</t>
  </si>
  <si>
    <t>Storage Cabinet</t>
  </si>
  <si>
    <t>December</t>
  </si>
  <si>
    <t>ORD-1026</t>
  </si>
  <si>
    <t>C-026</t>
  </si>
  <si>
    <t>Noida</t>
  </si>
  <si>
    <t>ORD-1027</t>
  </si>
  <si>
    <t>C-027</t>
  </si>
  <si>
    <t>ORD-1028</t>
  </si>
  <si>
    <t>C-028</t>
  </si>
  <si>
    <t>Printer Stand</t>
  </si>
  <si>
    <t>ORD-1029</t>
  </si>
  <si>
    <t>C-029</t>
  </si>
  <si>
    <t>ORD-1030</t>
  </si>
  <si>
    <t>C-030</t>
  </si>
  <si>
    <t>Copy Paper</t>
  </si>
  <si>
    <t>Field</t>
  </si>
  <si>
    <t>Description</t>
  </si>
  <si>
    <t>Unique row identifier</t>
  </si>
  <si>
    <t>Order identifier</t>
  </si>
  <si>
    <t>Order date</t>
  </si>
  <si>
    <t>Shipment date</t>
  </si>
  <si>
    <t>Shipping method</t>
  </si>
  <si>
    <t>Customer identifier</t>
  </si>
  <si>
    <t>Customer segment</t>
  </si>
  <si>
    <t>Geographic region</t>
  </si>
  <si>
    <t>Product category</t>
  </si>
  <si>
    <t>Product sub-category</t>
  </si>
  <si>
    <t>Product name</t>
  </si>
  <si>
    <t>Sales channel</t>
  </si>
  <si>
    <t>Sales amount</t>
  </si>
  <si>
    <t>Units sold</t>
  </si>
  <si>
    <t>Discount rate</t>
  </si>
  <si>
    <t>Profit amount</t>
  </si>
  <si>
    <t>Shipping cost</t>
  </si>
  <si>
    <t>Order priority</t>
  </si>
  <si>
    <t>Order year</t>
  </si>
  <si>
    <t>Order month</t>
  </si>
  <si>
    <t>Days to ship</t>
  </si>
  <si>
    <t>Profit divided by sales</t>
  </si>
  <si>
    <t>Sales divided by quantity</t>
  </si>
  <si>
    <t>Region Name</t>
  </si>
  <si>
    <t>Customer Count</t>
  </si>
  <si>
    <t>Average Order Value</t>
  </si>
  <si>
    <t>Row Labels</t>
  </si>
  <si>
    <t>Grand Total</t>
  </si>
  <si>
    <t>Sum of Sales</t>
  </si>
  <si>
    <t>Sum of Profit</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</si>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</sst>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7" formatCode="[$-14009]dd/mm/yyyy;@"/>
    <numFmt numFmtId="169" formatCode="&quot;₹&quot;\ #,##0.00;[Red]&quot;₹&quot;\ #,##0.00"/>
  </numFmts>
  <fonts count="5" x14ac:knownFonts="1">
    <font>
      <sz val="11"/>
      <color theme="1"/>
      <name val="Calibri"/>
      <family val="2"/>
      <scheme val="minor"/>
    </font>
    <font>
      <b/>
      <sz val="11"/>
      <name val="Calibri"/>
    </font>
    <font>
      <b/>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167" fontId="1" fillId="0" borderId="1" xfId="0" applyNumberFormat="1" applyFont="1" applyBorder="1" applyAlignment="1">
      <alignment horizontal="center" vertical="top"/>
    </xf>
    <xf numFmtId="167" fontId="0" fillId="0" borderId="0" xfId="0" applyNumberFormat="1"/>
    <xf numFmtId="169" fontId="1" fillId="0" borderId="1" xfId="0" applyNumberFormat="1" applyFont="1" applyBorder="1" applyAlignment="1">
      <alignment horizontal="center" vertical="top"/>
    </xf>
    <xf numFmtId="169" fontId="0" fillId="0" borderId="0" xfId="0" applyNumberFormat="1"/>
    <xf numFmtId="10" fontId="1" fillId="0" borderId="1" xfId="0" applyNumberFormat="1" applyFont="1" applyBorder="1" applyAlignment="1">
      <alignment horizontal="center" vertical="top"/>
    </xf>
    <xf numFmtId="10"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3" fillId="0" borderId="1" xfId="0" applyFont="1" applyBorder="1" applyAlignment="1">
      <alignment horizontal="center" vertical="top"/>
    </xf>
    <xf numFmtId="0" fontId="2" fillId="0" borderId="0" xfId="0" applyFont="1"/>
    <xf numFmtId="0" fontId="2" fillId="0" borderId="0" xfId="0" applyFont="1" applyAlignment="1">
      <alignment horizontal="center"/>
    </xf>
    <xf numFmtId="0" fontId="0" fillId="0" borderId="0" xfId="0" applyAlignment="1">
      <alignment horizontal="center"/>
    </xf>
    <xf numFmtId="0" fontId="0" fillId="0" borderId="0" xfId="0" applyNumberFormat="1"/>
    <xf numFmtId="167" fontId="2" fillId="0" borderId="0" xfId="0" applyNumberFormat="1" applyFont="1"/>
    <xf numFmtId="169" fontId="2" fillId="0" borderId="0" xfId="0" applyNumberFormat="1" applyFont="1"/>
    <xf numFmtId="1" fontId="2" fillId="0" borderId="0" xfId="0" applyNumberFormat="1" applyFont="1"/>
    <xf numFmtId="10" fontId="2" fillId="0" borderId="0" xfId="0" applyNumberFormat="1" applyFont="1"/>
    <xf numFmtId="169" fontId="3" fillId="0" borderId="1" xfId="0" applyNumberFormat="1" applyFont="1" applyBorder="1" applyAlignment="1">
      <alignment horizontal="center" vertical="top"/>
    </xf>
    <xf numFmtId="0" fontId="4" fillId="0" borderId="0" xfId="0" applyFont="1" applyFill="1"/>
    <xf numFmtId="0" fontId="4" fillId="0" borderId="0" xfId="0" applyNumberFormat="1" applyFont="1" applyFill="1"/>
    <xf numFmtId="167" fontId="4" fillId="0" borderId="0" xfId="0" applyNumberFormat="1" applyFont="1" applyFill="1"/>
    <xf numFmtId="169" fontId="4" fillId="0" borderId="0" xfId="0" applyNumberFormat="1" applyFont="1" applyFill="1"/>
    <xf numFmtId="1" fontId="4" fillId="0" borderId="0" xfId="0" applyNumberFormat="1" applyFont="1" applyFill="1"/>
    <xf numFmtId="10" fontId="4" fillId="0" borderId="0" xfId="0" applyNumberFormat="1" applyFont="1" applyFill="1"/>
    <xf numFmtId="0" fontId="0" fillId="0" borderId="0" xfId="0" pivotButton="1"/>
    <xf numFmtId="0" fontId="0" fillId="0" borderId="0" xfId="0" applyAlignment="1">
      <alignment horizontal="left"/>
    </xf>
  </cellXfs>
  <cellStyles count="1">
    <cellStyle name="Normal" xfId="0" builtinId="0"/>
  </cellStyles>
  <dxfs count="64">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[Superstore_Sales_Analysis_Dataset.xlsx]Superstore Data!PivotTable1</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'Superstore Data'!$E$36</c:f>
              <c:strCache>
                <c:ptCount val="1"/>
                <c:pt idx="0">
                  <c:v>Sum of Sales</c:v>
                </c:pt>
              </c:strCache>
            </c:strRef>
          </c:tx>
          <c:spPr>
            <a:solidFill>
              <a:schemeClr val="accent1"/>
            </a:solidFill>
            <a:ln>
              <a:noFill/>
            </a:ln>
            <a:effectLst/>
          </c:spPr>
          <c:invertIfNegative val="0"/>
          <c:cat>
            <c:strRef>
              <c:f>'Superstore Data'!$D$37:$D$40</c:f>
              <c:strCache>
                <c:ptCount val="3"/>
                <c:pt idx="0">
                  <c:v>Furniture</c:v>
                </c:pt>
                <c:pt idx="1">
                  <c:v>Office Supplies</c:v>
                </c:pt>
                <c:pt idx="2">
                  <c:v>Technology</c:v>
                </c:pt>
              </c:strCache>
            </c:strRef>
          </c:cat>
          <c:val>
            <c:numRef>
              <c:f>'Superstore Data'!$E$37:$E$40</c:f>
              <c:numCache>
                <c:formatCode>General</c:formatCode>
                <c:ptCount val="3"/>
                <c:pt idx="0">
                  <c:v>149400</c:v>
                </c:pt>
                <c:pt idx="1">
                  <c:v>42349</c:v>
                </c:pt>
                <c:pt idx="2">
                  <c:v>395993</c:v>
                </c:pt>
              </c:numCache>
            </c:numRef>
          </c:val>
          <c:extLst>
            <c:ext xmlns:c16="http://schemas.microsoft.com/office/drawing/2014/chart" uri="{C3380CC4-5D6E-409C-BE32-E72D297353CC}">
              <c16:uniqueId val="{00000000-B5C2-4131-92A0-E1944A2BD510}"/>
            </c:ext>
          </c:extLst>
        </c:ser>
        <c:ser>
          <c:idx val="1"/>
          <c:order val="1"/>
          <c:tx>
            <c:strRef>
              <c:f>'Superstore Data'!$F$36</c:f>
              <c:strCache>
                <c:ptCount val="1"/>
                <c:pt idx="0">
                  <c:v>Sum of Profit</c:v>
                </c:pt>
              </c:strCache>
            </c:strRef>
          </c:tx>
          <c:spPr>
            <a:solidFill>
              <a:schemeClr val="accent2"/>
            </a:solidFill>
            <a:ln>
              <a:noFill/>
            </a:ln>
            <a:effectLst/>
          </c:spPr>
          <c:invertIfNegative val="0"/>
          <c:cat>
            <c:strRef>
              <c:f>'Superstore Data'!$D$37:$D$40</c:f>
              <c:strCache>
                <c:ptCount val="3"/>
                <c:pt idx="0">
                  <c:v>Furniture</c:v>
                </c:pt>
                <c:pt idx="1">
                  <c:v>Office Supplies</c:v>
                </c:pt>
                <c:pt idx="2">
                  <c:v>Technology</c:v>
                </c:pt>
              </c:strCache>
            </c:strRef>
          </c:cat>
          <c:val>
            <c:numRef>
              <c:f>'Superstore Data'!$F$37:$F$40</c:f>
              <c:numCache>
                <c:formatCode>General</c:formatCode>
                <c:ptCount val="3"/>
                <c:pt idx="0">
                  <c:v>18700</c:v>
                </c:pt>
                <c:pt idx="1">
                  <c:v>6000</c:v>
                </c:pt>
                <c:pt idx="2">
                  <c:v>56200</c:v>
                </c:pt>
              </c:numCache>
            </c:numRef>
          </c:val>
          <c:extLst>
            <c:ext xmlns:c16="http://schemas.microsoft.com/office/drawing/2014/chart" uri="{C3380CC4-5D6E-409C-BE32-E72D297353CC}">
              <c16:uniqueId val="{00000001-B5C2-4131-92A0-E1944A2BD510}"/>
            </c:ext>
          </c:extLst>
        </c:ser>
        <c:ser>
          <c:idx val="2"/>
          <c:order val="2"/>
          <c:tx>
            <c:strRef>
              <c:f>'Superstore Data'!$G$36</c:f>
              <c:strCache>
                <c:ptCount val="1"/>
                <c:pt idx="0">
                  <c:v>Count of Customer ID</c:v>
                </c:pt>
              </c:strCache>
            </c:strRef>
          </c:tx>
          <c:spPr>
            <a:solidFill>
              <a:schemeClr val="accent3"/>
            </a:solidFill>
            <a:ln>
              <a:noFill/>
            </a:ln>
            <a:effectLst/>
          </c:spPr>
          <c:invertIfNegative val="0"/>
          <c:cat>
            <c:strRef>
              <c:f>'Superstore Data'!$D$37:$D$40</c:f>
              <c:strCache>
                <c:ptCount val="3"/>
                <c:pt idx="0">
                  <c:v>Furniture</c:v>
                </c:pt>
                <c:pt idx="1">
                  <c:v>Office Supplies</c:v>
                </c:pt>
                <c:pt idx="2">
                  <c:v>Technology</c:v>
                </c:pt>
              </c:strCache>
            </c:strRef>
          </c:cat>
          <c:val>
            <c:numRef>
              <c:f>'Superstore Data'!$G$37:$G$40</c:f>
              <c:numCache>
                <c:formatCode>General</c:formatCode>
                <c:ptCount val="3"/>
                <c:pt idx="0">
                  <c:v>8</c:v>
                </c:pt>
                <c:pt idx="1">
                  <c:v>10</c:v>
                </c:pt>
                <c:pt idx="2">
                  <c:v>12</c:v>
                </c:pt>
              </c:numCache>
            </c:numRef>
          </c:val>
          <c:extLst>
            <c:ext xmlns:c16="http://schemas.microsoft.com/office/drawing/2014/chart" uri="{C3380CC4-5D6E-409C-BE32-E72D297353CC}">
              <c16:uniqueId val="{00000002-B5C2-4131-92A0-E1944A2BD510}"/>
            </c:ext>
          </c:extLst>
        </c:ser>
        <c:dLbls>
          <c:showLegendKey val="0"/>
          <c:showVal val="0"/>
          <c:showCatName val="0"/>
          <c:showSerName val="0"/>
          <c:showPercent val="0"/>
          <c:showBubbleSize val="0"/>
        </c:dLbls>
        <c:gapWidth val="219"/>
        <c:overlap val="-27"/>
        <c:axId val="1907603727"/>
        <c:axId val="1907602479"/>
      </c:barChart>
      <c:catAx>
        <c:axId val="190760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602479"/>
        <c:crosses val="autoZero"/>
        <c:auto val="1"/>
        <c:lblAlgn val="ctr"/>
        <c:lblOffset val="100"/>
        <c:noMultiLvlLbl val="0"/>
      </c:catAx>
      <c:valAx>
        <c:axId val="190760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6037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419100</xdr:colOff>
      <xdr:row>41</xdr:row>
      <xdr:rowOff>26670</xdr:rowOff>
    </xdr:from>
    <xdr:to>
      <xdr:col>7</xdr:col>
      <xdr:colOff>243840</xdr:colOff>
      <xdr:row>56</xdr:row>
      <xdr:rowOff>26670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129540</xdr:colOff>
      <xdr:row>33</xdr:row>
      <xdr:rowOff>137160</xdr:rowOff>
    </xdr:from>
    <xdr:to>
      <xdr:col>12</xdr:col>
      <xdr:colOff>129540</xdr:colOff>
      <xdr:row>47</xdr:row>
      <xdr:rowOff>43815</xdr:rowOff>
    </xdr:to>
    <mc:AlternateContent xmlns:mc="http://schemas.openxmlformats.org/markup-compatibility/2006">
      <mc:Choice xmlns:a14="http://schemas.microsoft.com/office/drawing/2010/main" Requires="a14">
        <xdr:graphicFrame macro="">
          <xdr:nvGraphicFramePr>
            <xdr:cNvPr id="8" name="Region Name"/>
            <xdr:cNvGraphicFramePr/>
          </xdr:nvGraphicFramePr>
          <xdr:xfrm>
            <a:off x="0" y="0"/>
            <a:ext cx="0" cy="0"/>
          </xdr:xfrm>
          <a:graphic>
            <a:graphicData uri="http://schemas.microsoft.com/office/drawing/2010/slicer">
              <sle:slicer xmlns:sle="http://schemas.microsoft.com/office/drawing/2010/slicer" name="Region Name"/>
            </a:graphicData>
          </a:graphic>
        </xdr:graphicFrame>
      </mc:Choice>
      <mc:Fallback>
        <xdr:sp macro="" textlink="">
          <xdr:nvSpPr>
            <xdr:cNvPr id="0" name=""/>
            <xdr:cNvSpPr>
              <a:spLocks noTextEdit="1"/>
            </xdr:cNvSpPr>
          </xdr:nvSpPr>
          <xdr:spPr>
            <a:xfrm>
              <a:off x="7772400" y="6172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ti Thakur" refreshedDate="46276.327836458331" createdVersion="6" refreshedVersion="6" minRefreshableVersion="3" recordCount="30">
  <cacheSource type="worksheet">
    <worksheetSource ref="A1:Y31" sheet="Superstore Data"/>
  </cacheSource>
  <cacheFields count="25">
    <cacheField name="Row ID" numFmtId="0">
      <sharedItems containsSemiMixedTypes="0" containsString="0" containsNumber="1" containsInteger="1" minValue="1" maxValue="30"/>
    </cacheField>
    <cacheField name="Order ID" numFmtId="0">
      <sharedItems count="3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haredItems>
    </cacheField>
    <cacheField name="Order Date" numFmtId="167">
      <sharedItems containsSemiMixedTypes="0" containsNonDate="0" containsDate="1" containsString="0" minDate="2024-01-05T00:00:00" maxDate="2025-02-20T00:00:00"/>
    </cacheField>
    <cacheField name="Ship Date" numFmtId="167">
      <sharedItems containsSemiMixedTypes="0" containsNonDate="0" containsDate="1" containsString="0" minDate="2024-01-08T00:00:00" maxDate="2025-02-24T00:00:00"/>
    </cacheField>
    <cacheField name="Ship Mode" numFmtId="0">
      <sharedItems/>
    </cacheField>
    <cacheField name="Customer ID" numFmtId="0">
      <sharedItems count="30">
        <s v="C-001"/>
        <s v="C-002"/>
        <s v="C-003"/>
        <s v="C-004"/>
        <s v="C-005"/>
        <s v="C-006"/>
        <s v="C-007"/>
        <s v="C-008"/>
        <s v="C-009"/>
        <s v="C-010"/>
        <s v="C-011"/>
        <s v="C-012"/>
        <s v="C-013"/>
        <s v="C-014"/>
        <s v="C-015"/>
        <s v="C-016"/>
        <s v="C-017"/>
        <s v="C-018"/>
        <s v="C-019"/>
        <s v="C-020"/>
        <s v="C-021"/>
        <s v="C-022"/>
        <s v="C-023"/>
        <s v="C-024"/>
        <s v="C-025"/>
        <s v="C-026"/>
        <s v="C-027"/>
        <s v="C-028"/>
        <s v="C-029"/>
        <s v="C-030"/>
      </sharedItems>
    </cacheField>
    <cacheField name="Segment" numFmtId="0">
      <sharedItems/>
    </cacheField>
    <cacheField name="City" numFmtId="0">
      <sharedItems/>
    </cacheField>
    <cacheField name="State" numFmtId="0">
      <sharedItems/>
    </cacheField>
    <cacheField name="Region Name" numFmtId="0">
      <sharedItems count="5">
        <s v="West"/>
        <s v="North"/>
        <s v="South"/>
        <s v="East"/>
        <s v="Central"/>
      </sharedItems>
    </cacheField>
    <cacheField name="Category" numFmtId="0">
      <sharedItems count="3">
        <s v="Technology"/>
        <s v="Office Supplies"/>
        <s v="Furniture"/>
      </sharedItems>
    </cacheField>
    <cacheField name="Sub-Category" numFmtId="0">
      <sharedItems/>
    </cacheField>
    <cacheField name="Product Name" numFmtId="0">
      <sharedItems/>
    </cacheField>
    <cacheField name="Sales Channel" numFmtId="0">
      <sharedItems/>
    </cacheField>
    <cacheField name="Sales" numFmtId="169">
      <sharedItems containsSemiMixedTypes="0" containsString="0" containsNumber="1" containsInteger="1" minValue="1499" maxValue="89999" count="29">
        <n v="89999"/>
        <n v="1499"/>
        <n v="12500"/>
        <n v="2999"/>
        <n v="4250"/>
        <n v="28500"/>
        <n v="18900"/>
        <n v="15999"/>
        <n v="6200"/>
        <n v="21500"/>
        <n v="5499"/>
        <n v="3800"/>
        <n v="9800"/>
        <n v="67500"/>
        <n v="2100"/>
        <n v="32500"/>
        <n v="18500"/>
        <n v="2750"/>
        <n v="45999"/>
        <n v="14500"/>
        <n v="3250"/>
        <n v="4999"/>
        <n v="22900"/>
        <n v="11999"/>
        <n v="8700"/>
        <n v="82500"/>
        <n v="16800"/>
        <n v="5200"/>
        <n v="4600"/>
      </sharedItems>
    </cacheField>
    <cacheField name="Quantity" numFmtId="1">
      <sharedItems containsSemiMixedTypes="0" containsString="0" containsNumber="1" containsInteger="1" minValue="1" maxValue="25"/>
    </cacheField>
    <cacheField name="Discount" numFmtId="10">
      <sharedItems containsSemiMixedTypes="0" containsString="0" containsNumber="1" minValue="0.04" maxValue="0.18"/>
    </cacheField>
    <cacheField name="Profit" numFmtId="169">
      <sharedItems containsSemiMixedTypes="0" containsString="0" containsNumber="1" containsInteger="1" minValue="300" maxValue="12000"/>
    </cacheField>
    <cacheField name="Shipping Cost" numFmtId="169">
      <sharedItems containsSemiMixedTypes="0" containsString="0" containsNumber="1" containsInteger="1" minValue="140" maxValue="2500"/>
    </cacheField>
    <cacheField name="Order Priority" numFmtId="0">
      <sharedItems/>
    </cacheField>
    <cacheField name="Year" numFmtId="0">
      <sharedItems containsSemiMixedTypes="0" containsString="0" containsNumber="1" containsInteger="1" minValue="2024" maxValue="2025"/>
    </cacheField>
    <cacheField name="Month" numFmtId="0">
      <sharedItems/>
    </cacheField>
    <cacheField name="Ship Days" numFmtId="0">
      <sharedItems containsSemiMixedTypes="0" containsString="0" containsNumber="1" containsInteger="1" minValue="3" maxValue="4"/>
    </cacheField>
    <cacheField name="Profit Margin" numFmtId="0">
      <sharedItems containsSemiMixedTypes="0" containsString="0" containsNumber="1" minValue="8.3720930232558138E-2" maxValue="0.2334889926617745"/>
    </cacheField>
    <cacheField name="Sales per Unit" numFmtId="0">
      <sharedItems containsSemiMixedTypes="0" containsString="0" containsNumber="1" minValue="130" maxValue="44999.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n v="1"/>
    <x v="0"/>
    <d v="2024-01-05T00:00:00"/>
    <d v="2024-01-08T00:00:00"/>
    <s v="Standard Class"/>
    <x v="0"/>
    <s v="Consumer"/>
    <s v="Mumbai"/>
    <s v="Maharashtra"/>
    <x v="0"/>
    <x v="0"/>
    <s v="Phones"/>
    <s v="Smartphone"/>
    <s v="Online"/>
    <x v="0"/>
    <n v="2"/>
    <n v="0.05"/>
    <n v="12000"/>
    <n v="2500"/>
    <s v="High"/>
    <n v="2024"/>
    <s v="January"/>
    <n v="3"/>
    <n v="0.13333481483127591"/>
    <n v="44999.5"/>
  </r>
  <r>
    <n v="2"/>
    <x v="1"/>
    <d v="2024-01-12T00:00:00"/>
    <d v="2024-01-15T00:00:00"/>
    <s v="Second Class"/>
    <x v="1"/>
    <s v="Corporate"/>
    <s v="Pune"/>
    <s v="Maharashtra"/>
    <x v="0"/>
    <x v="1"/>
    <s v="Binders"/>
    <s v="File Binder"/>
    <s v="Retail"/>
    <x v="1"/>
    <n v="10"/>
    <n v="0.1"/>
    <n v="350"/>
    <n v="180"/>
    <s v="Medium"/>
    <n v="2024"/>
    <s v="January"/>
    <n v="3"/>
    <n v="0.2334889926617745"/>
    <n v="149.9"/>
  </r>
  <r>
    <n v="3"/>
    <x v="2"/>
    <d v="2024-01-18T00:00:00"/>
    <d v="2024-01-22T00:00:00"/>
    <s v="Standard Class"/>
    <x v="2"/>
    <s v="Consumer"/>
    <s v="Delhi"/>
    <s v="Delhi"/>
    <x v="1"/>
    <x v="2"/>
    <s v="Chairs"/>
    <s v="Office Chair"/>
    <s v="Online"/>
    <x v="2"/>
    <n v="3"/>
    <n v="0.08"/>
    <n v="2200"/>
    <n v="600"/>
    <s v="Medium"/>
    <n v="2024"/>
    <s v="January"/>
    <n v="4"/>
    <n v="0.17599999999999999"/>
    <n v="4166.666666666667"/>
  </r>
  <r>
    <n v="4"/>
    <x v="3"/>
    <d v="2024-02-03T00:00:00"/>
    <d v="2024-02-06T00:00:00"/>
    <s v="First Class"/>
    <x v="3"/>
    <s v="Home Office"/>
    <s v="Bengaluru"/>
    <s v="Karnataka"/>
    <x v="2"/>
    <x v="0"/>
    <s v="Accessories"/>
    <s v="Wireless Keyboard"/>
    <s v="Online"/>
    <x v="3"/>
    <n v="5"/>
    <n v="0.05"/>
    <n v="700"/>
    <n v="200"/>
    <s v="High"/>
    <n v="2024"/>
    <s v="February"/>
    <n v="3"/>
    <n v="0.23341113704568189"/>
    <n v="599.79999999999995"/>
  </r>
  <r>
    <n v="5"/>
    <x v="4"/>
    <d v="2024-02-14T00:00:00"/>
    <d v="2024-02-18T00:00:00"/>
    <s v="Standard Class"/>
    <x v="4"/>
    <s v="Consumer"/>
    <s v="Hyderabad"/>
    <s v="Telangana"/>
    <x v="2"/>
    <x v="1"/>
    <s v="Paper"/>
    <s v="Printer Paper"/>
    <s v="Retail"/>
    <x v="4"/>
    <n v="20"/>
    <n v="0.12"/>
    <n v="600"/>
    <n v="250"/>
    <s v="Medium"/>
    <n v="2024"/>
    <s v="February"/>
    <n v="4"/>
    <n v="0.14117647058823529"/>
    <n v="212.5"/>
  </r>
  <r>
    <n v="6"/>
    <x v="5"/>
    <d v="2024-02-27T00:00:00"/>
    <d v="2024-03-02T00:00:00"/>
    <s v="Second Class"/>
    <x v="5"/>
    <s v="Corporate"/>
    <s v="Ahmedabad"/>
    <s v="Gujarat"/>
    <x v="0"/>
    <x v="0"/>
    <s v="Copiers"/>
    <s v="Laser Printer"/>
    <s v="Online"/>
    <x v="5"/>
    <n v="2"/>
    <n v="7.0000000000000007E-2"/>
    <n v="4800"/>
    <n v="900"/>
    <s v="High"/>
    <n v="2024"/>
    <s v="February"/>
    <n v="4"/>
    <n v="0.16842105263157889"/>
    <n v="14250"/>
  </r>
  <r>
    <n v="7"/>
    <x v="6"/>
    <d v="2024-03-08T00:00:00"/>
    <d v="2024-03-12T00:00:00"/>
    <s v="Standard Class"/>
    <x v="6"/>
    <s v="Consumer"/>
    <s v="Kolkata"/>
    <s v="West Bengal"/>
    <x v="3"/>
    <x v="2"/>
    <s v="Tables"/>
    <s v="Work Table"/>
    <s v="Retail"/>
    <x v="6"/>
    <n v="2"/>
    <n v="0.15"/>
    <n v="2500"/>
    <n v="850"/>
    <s v="Medium"/>
    <n v="2024"/>
    <s v="March"/>
    <n v="4"/>
    <n v="0.1322751322751323"/>
    <n v="9450"/>
  </r>
  <r>
    <n v="8"/>
    <x v="7"/>
    <d v="2024-03-19T00:00:00"/>
    <d v="2024-03-22T00:00:00"/>
    <s v="First Class"/>
    <x v="7"/>
    <s v="Home Office"/>
    <s v="Chennai"/>
    <s v="Tamil Nadu"/>
    <x v="2"/>
    <x v="0"/>
    <s v="Phones"/>
    <s v="Business Phone"/>
    <s v="Online"/>
    <x v="7"/>
    <n v="4"/>
    <n v="0.05"/>
    <n v="3200"/>
    <n v="450"/>
    <s v="High"/>
    <n v="2024"/>
    <s v="March"/>
    <n v="3"/>
    <n v="0.20001250078129881"/>
    <n v="3999.75"/>
  </r>
  <r>
    <n v="9"/>
    <x v="8"/>
    <d v="2024-04-02T00:00:00"/>
    <d v="2024-04-06T00:00:00"/>
    <s v="Standard Class"/>
    <x v="8"/>
    <s v="Consumer"/>
    <s v="Jaipur"/>
    <s v="Rajasthan"/>
    <x v="1"/>
    <x v="1"/>
    <s v="Storage"/>
    <s v="Storage Box"/>
    <s v="Retail"/>
    <x v="8"/>
    <n v="8"/>
    <n v="0.1"/>
    <n v="900"/>
    <n v="350"/>
    <s v="Medium"/>
    <n v="2024"/>
    <s v="April"/>
    <n v="4"/>
    <n v="0.14516129032258071"/>
    <n v="775"/>
  </r>
  <r>
    <n v="10"/>
    <x v="9"/>
    <d v="2024-04-17T00:00:00"/>
    <d v="2024-04-20T00:00:00"/>
    <s v="Second Class"/>
    <x v="9"/>
    <s v="Corporate"/>
    <s v="Surat"/>
    <s v="Gujarat"/>
    <x v="0"/>
    <x v="2"/>
    <s v="Bookcases"/>
    <s v="Office Bookcase"/>
    <s v="Online"/>
    <x v="9"/>
    <n v="3"/>
    <n v="0.18"/>
    <n v="1800"/>
    <n v="700"/>
    <s v="High"/>
    <n v="2024"/>
    <s v="April"/>
    <n v="3"/>
    <n v="8.3720930232558138E-2"/>
    <n v="7166.666666666667"/>
  </r>
  <r>
    <n v="11"/>
    <x v="10"/>
    <d v="2024-05-05T00:00:00"/>
    <d v="2024-05-08T00:00:00"/>
    <s v="Standard Class"/>
    <x v="10"/>
    <s v="Consumer"/>
    <s v="Lucknow"/>
    <s v="Uttar Pradesh"/>
    <x v="1"/>
    <x v="0"/>
    <s v="Accessories"/>
    <s v="Headset"/>
    <s v="Online"/>
    <x v="10"/>
    <n v="6"/>
    <n v="0.06"/>
    <n v="1100"/>
    <n v="180"/>
    <s v="Medium"/>
    <n v="2024"/>
    <s v="May"/>
    <n v="3"/>
    <n v="0.2000363702491362"/>
    <n v="916.5"/>
  </r>
  <r>
    <n v="12"/>
    <x v="11"/>
    <d v="2024-05-21T00:00:00"/>
    <d v="2024-05-25T00:00:00"/>
    <s v="Standard Class"/>
    <x v="11"/>
    <s v="Corporate"/>
    <s v="Kochi"/>
    <s v="Kerala"/>
    <x v="2"/>
    <x v="1"/>
    <s v="Appliances"/>
    <s v="Desk Lamp"/>
    <s v="Retail"/>
    <x v="11"/>
    <n v="7"/>
    <n v="0.09"/>
    <n v="550"/>
    <n v="300"/>
    <s v="Medium"/>
    <n v="2024"/>
    <s v="May"/>
    <n v="4"/>
    <n v="0.14473684210526319"/>
    <n v="542.85714285714289"/>
  </r>
  <r>
    <n v="13"/>
    <x v="12"/>
    <d v="2024-06-06T00:00:00"/>
    <d v="2024-06-10T00:00:00"/>
    <s v="First Class"/>
    <x v="12"/>
    <s v="Consumer"/>
    <s v="Patna"/>
    <s v="Bihar"/>
    <x v="3"/>
    <x v="2"/>
    <s v="Chairs"/>
    <s v="Visitor Chair"/>
    <s v="Retail"/>
    <x v="12"/>
    <n v="4"/>
    <n v="0.12"/>
    <n v="1300"/>
    <n v="450"/>
    <s v="High"/>
    <n v="2024"/>
    <s v="June"/>
    <n v="4"/>
    <n v="0.1326530612244898"/>
    <n v="2450"/>
  </r>
  <r>
    <n v="14"/>
    <x v="13"/>
    <d v="2024-06-19T00:00:00"/>
    <d v="2024-06-23T00:00:00"/>
    <s v="Second Class"/>
    <x v="13"/>
    <s v="Home Office"/>
    <s v="Nagpur"/>
    <s v="Maharashtra"/>
    <x v="0"/>
    <x v="0"/>
    <s v="Laptops"/>
    <s v="Business Laptop"/>
    <s v="Online"/>
    <x v="13"/>
    <n v="2"/>
    <n v="0.04"/>
    <n v="8500"/>
    <n v="1200"/>
    <s v="High"/>
    <n v="2024"/>
    <s v="June"/>
    <n v="4"/>
    <n v="0.12592592592592591"/>
    <n v="33750"/>
  </r>
  <r>
    <n v="15"/>
    <x v="14"/>
    <d v="2024-07-04T00:00:00"/>
    <d v="2024-07-08T00:00:00"/>
    <s v="Standard Class"/>
    <x v="14"/>
    <s v="Consumer"/>
    <s v="Chandigarh"/>
    <s v="Chandigarh"/>
    <x v="1"/>
    <x v="1"/>
    <s v="Labels"/>
    <s v="Shipping Labels"/>
    <s v="Retail"/>
    <x v="14"/>
    <n v="15"/>
    <n v="0.05"/>
    <n v="300"/>
    <n v="140"/>
    <s v="Medium"/>
    <n v="2024"/>
    <s v="July"/>
    <n v="4"/>
    <n v="0.14285714285714279"/>
    <n v="140"/>
  </r>
  <r>
    <n v="16"/>
    <x v="15"/>
    <d v="2024-07-18T00:00:00"/>
    <d v="2024-07-22T00:00:00"/>
    <s v="Standard Class"/>
    <x v="15"/>
    <s v="Corporate"/>
    <s v="Coimbatore"/>
    <s v="Tamil Nadu"/>
    <x v="2"/>
    <x v="2"/>
    <s v="Tables"/>
    <s v="Conference Table"/>
    <s v="Online"/>
    <x v="15"/>
    <n v="1"/>
    <n v="0.1"/>
    <n v="4200"/>
    <n v="900"/>
    <s v="High"/>
    <n v="2024"/>
    <s v="July"/>
    <n v="4"/>
    <n v="0.1292307692307692"/>
    <n v="32500"/>
  </r>
  <r>
    <n v="17"/>
    <x v="16"/>
    <d v="2024-08-03T00:00:00"/>
    <d v="2024-08-07T00:00:00"/>
    <s v="First Class"/>
    <x v="16"/>
    <s v="Consumer"/>
    <s v="Bhopal"/>
    <s v="Madhya Pradesh"/>
    <x v="4"/>
    <x v="0"/>
    <s v="Accessories"/>
    <s v="Monitor"/>
    <s v="Online"/>
    <x v="16"/>
    <n v="3"/>
    <n v="0.08"/>
    <n v="2900"/>
    <n v="500"/>
    <s v="High"/>
    <n v="2024"/>
    <s v="August"/>
    <n v="4"/>
    <n v="0.15675675675675679"/>
    <n v="6166.666666666667"/>
  </r>
  <r>
    <n v="18"/>
    <x v="17"/>
    <d v="2024-08-16T00:00:00"/>
    <d v="2024-08-20T00:00:00"/>
    <s v="Second Class"/>
    <x v="17"/>
    <s v="Home Office"/>
    <s v="Bhubaneswar"/>
    <s v="Odisha"/>
    <x v="3"/>
    <x v="1"/>
    <s v="Binders"/>
    <s v="Presentation Binder"/>
    <s v="Retail"/>
    <x v="17"/>
    <n v="12"/>
    <n v="0.14000000000000001"/>
    <n v="380"/>
    <n v="220"/>
    <s v="Medium"/>
    <n v="2024"/>
    <s v="August"/>
    <n v="4"/>
    <n v="0.13818181818181821"/>
    <n v="229.16666666666671"/>
  </r>
  <r>
    <n v="19"/>
    <x v="18"/>
    <d v="2024-09-05T00:00:00"/>
    <d v="2024-09-09T00:00:00"/>
    <s v="Standard Class"/>
    <x v="18"/>
    <s v="Corporate"/>
    <s v="Gurugram"/>
    <s v="Haryana"/>
    <x v="1"/>
    <x v="0"/>
    <s v="Phones"/>
    <s v="Smartphone"/>
    <s v="Online"/>
    <x v="18"/>
    <n v="2"/>
    <n v="0.06"/>
    <n v="6200"/>
    <n v="650"/>
    <s v="High"/>
    <n v="2024"/>
    <s v="September"/>
    <n v="4"/>
    <n v="0.1347855388160612"/>
    <n v="22999.5"/>
  </r>
  <r>
    <n v="20"/>
    <x v="19"/>
    <d v="2024-09-23T00:00:00"/>
    <d v="2024-09-27T00:00:00"/>
    <s v="Standard Class"/>
    <x v="19"/>
    <s v="Consumer"/>
    <s v="Visakhapatnam"/>
    <s v="Andhra Pradesh"/>
    <x v="2"/>
    <x v="2"/>
    <s v="Furnishings"/>
    <s v="Office Desk"/>
    <s v="Retail"/>
    <x v="19"/>
    <n v="3"/>
    <n v="0.11"/>
    <n v="1900"/>
    <n v="600"/>
    <s v="Medium"/>
    <n v="2024"/>
    <s v="September"/>
    <n v="4"/>
    <n v="0.1310344827586207"/>
    <n v="4833.333333333333"/>
  </r>
  <r>
    <n v="21"/>
    <x v="20"/>
    <d v="2024-10-07T00:00:00"/>
    <d v="2024-10-10T00:00:00"/>
    <s v="First Class"/>
    <x v="20"/>
    <s v="Corporate"/>
    <s v="Nashik"/>
    <s v="Maharashtra"/>
    <x v="0"/>
    <x v="1"/>
    <s v="Paper"/>
    <s v="Notebook Pack"/>
    <s v="Retail"/>
    <x v="20"/>
    <n v="25"/>
    <n v="0.08"/>
    <n v="520"/>
    <n v="180"/>
    <s v="High"/>
    <n v="2024"/>
    <s v="October"/>
    <n v="3"/>
    <n v="0.16"/>
    <n v="130"/>
  </r>
  <r>
    <n v="22"/>
    <x v="21"/>
    <d v="2024-10-19T00:00:00"/>
    <d v="2024-10-23T00:00:00"/>
    <s v="Second Class"/>
    <x v="21"/>
    <s v="Consumer"/>
    <s v="Indore"/>
    <s v="Madhya Pradesh"/>
    <x v="4"/>
    <x v="0"/>
    <s v="Accessories"/>
    <s v="Keyboard"/>
    <s v="Online"/>
    <x v="21"/>
    <n v="5"/>
    <n v="0.05"/>
    <n v="900"/>
    <n v="200"/>
    <s v="Medium"/>
    <n v="2024"/>
    <s v="October"/>
    <n v="4"/>
    <n v="0.18003600720144031"/>
    <n v="999.8"/>
  </r>
  <r>
    <n v="23"/>
    <x v="22"/>
    <d v="2024-11-04T00:00:00"/>
    <d v="2024-11-08T00:00:00"/>
    <s v="Standard Class"/>
    <x v="22"/>
    <s v="Home Office"/>
    <s v="Amritsar"/>
    <s v="Punjab"/>
    <x v="1"/>
    <x v="2"/>
    <s v="Chairs"/>
    <s v="Ergonomic Chair"/>
    <s v="Online"/>
    <x v="22"/>
    <n v="2"/>
    <n v="0.13"/>
    <n v="2700"/>
    <n v="700"/>
    <s v="High"/>
    <n v="2024"/>
    <s v="November"/>
    <n v="4"/>
    <n v="0.11790393013100441"/>
    <n v="11450"/>
  </r>
  <r>
    <n v="24"/>
    <x v="23"/>
    <d v="2024-11-18T00:00:00"/>
    <d v="2024-11-21T00:00:00"/>
    <s v="First Class"/>
    <x v="23"/>
    <s v="Corporate"/>
    <s v="Goa"/>
    <s v="Goa"/>
    <x v="0"/>
    <x v="0"/>
    <s v="Cameras"/>
    <s v="Security Camera"/>
    <s v="Retail"/>
    <x v="23"/>
    <n v="4"/>
    <n v="7.0000000000000007E-2"/>
    <n v="1900"/>
    <n v="400"/>
    <s v="Medium"/>
    <n v="2024"/>
    <s v="November"/>
    <n v="3"/>
    <n v="0.15834652887740641"/>
    <n v="2999.75"/>
  </r>
  <r>
    <n v="25"/>
    <x v="24"/>
    <d v="2024-12-02T00:00:00"/>
    <d v="2024-12-06T00:00:00"/>
    <s v="Standard Class"/>
    <x v="24"/>
    <s v="Consumer"/>
    <s v="Ranchi"/>
    <s v="Jharkhand"/>
    <x v="3"/>
    <x v="1"/>
    <s v="Storage"/>
    <s v="Storage Cabinet"/>
    <s v="Retail"/>
    <x v="24"/>
    <n v="3"/>
    <n v="0.16"/>
    <n v="950"/>
    <n v="500"/>
    <s v="Medium"/>
    <n v="2024"/>
    <s v="December"/>
    <n v="4"/>
    <n v="0.10919540229885059"/>
    <n v="2900"/>
  </r>
  <r>
    <n v="26"/>
    <x v="25"/>
    <d v="2024-12-15T00:00:00"/>
    <d v="2024-12-19T00:00:00"/>
    <s v="Second Class"/>
    <x v="25"/>
    <s v="Corporate"/>
    <s v="Noida"/>
    <s v="Uttar Pradesh"/>
    <x v="1"/>
    <x v="0"/>
    <s v="Laptops"/>
    <s v="Business Laptop"/>
    <s v="Online"/>
    <x v="25"/>
    <n v="2"/>
    <n v="0.05"/>
    <n v="10500"/>
    <n v="1200"/>
    <s v="High"/>
    <n v="2024"/>
    <s v="December"/>
    <n v="4"/>
    <n v="0.12727272727272729"/>
    <n v="41250"/>
  </r>
  <r>
    <n v="27"/>
    <x v="26"/>
    <d v="2025-01-08T00:00:00"/>
    <d v="2025-01-12T00:00:00"/>
    <s v="Standard Class"/>
    <x v="26"/>
    <s v="Consumer"/>
    <s v="Mumbai"/>
    <s v="Maharashtra"/>
    <x v="0"/>
    <x v="2"/>
    <s v="Tables"/>
    <s v="Work Table"/>
    <s v="Retail"/>
    <x v="26"/>
    <n v="2"/>
    <n v="0.12"/>
    <n v="2100"/>
    <n v="800"/>
    <s v="Medium"/>
    <n v="2025"/>
    <s v="January"/>
    <n v="4"/>
    <n v="0.125"/>
    <n v="8400"/>
  </r>
  <r>
    <n v="28"/>
    <x v="27"/>
    <d v="2025-01-21T00:00:00"/>
    <d v="2025-01-25T00:00:00"/>
    <s v="First Class"/>
    <x v="27"/>
    <s v="Home Office"/>
    <s v="Pune"/>
    <s v="Maharashtra"/>
    <x v="0"/>
    <x v="1"/>
    <s v="Appliances"/>
    <s v="Printer Stand"/>
    <s v="Online"/>
    <x v="27"/>
    <n v="5"/>
    <n v="0.09"/>
    <n v="800"/>
    <n v="250"/>
    <s v="High"/>
    <n v="2025"/>
    <s v="January"/>
    <n v="4"/>
    <n v="0.15384615384615391"/>
    <n v="1040"/>
  </r>
  <r>
    <n v="29"/>
    <x v="28"/>
    <d v="2025-02-05T00:00:00"/>
    <d v="2025-02-09T00:00:00"/>
    <s v="Second Class"/>
    <x v="28"/>
    <s v="Consumer"/>
    <s v="Delhi"/>
    <s v="Delhi"/>
    <x v="1"/>
    <x v="0"/>
    <s v="Accessories"/>
    <s v="Monitor"/>
    <s v="Online"/>
    <x v="9"/>
    <n v="3"/>
    <n v="0.06"/>
    <n v="3500"/>
    <n v="500"/>
    <s v="High"/>
    <n v="2025"/>
    <s v="February"/>
    <n v="4"/>
    <n v="0.16279069767441859"/>
    <n v="7166.666666666667"/>
  </r>
  <r>
    <n v="30"/>
    <x v="29"/>
    <d v="2025-02-19T00:00:00"/>
    <d v="2025-02-23T00:00:00"/>
    <s v="Standard Class"/>
    <x v="29"/>
    <s v="Corporate"/>
    <s v="Bengaluru"/>
    <s v="Karnataka"/>
    <x v="2"/>
    <x v="1"/>
    <s v="Paper"/>
    <s v="Copy Paper"/>
    <s v="Retail"/>
    <x v="28"/>
    <n v="22"/>
    <n v="0.1"/>
    <n v="650"/>
    <n v="250"/>
    <s v="Medium"/>
    <n v="2025"/>
    <s v="February"/>
    <n v="4"/>
    <n v="0.14130434782608689"/>
    <n v="209.090909090909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D36:G40" firstHeaderRow="0" firstDataRow="1" firstDataCol="1"/>
  <pivotFields count="25">
    <pivotField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67" showAll="0"/>
    <pivotField numFmtId="167" showAll="0"/>
    <pivotField showAll="0"/>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items count="6">
        <item x="4"/>
        <item x="3"/>
        <item x="1"/>
        <item x="2"/>
        <item x="0"/>
        <item t="default"/>
      </items>
    </pivotField>
    <pivotField axis="axisRow" showAll="0">
      <items count="4">
        <item x="2"/>
        <item x="1"/>
        <item x="0"/>
        <item t="default"/>
      </items>
    </pivotField>
    <pivotField showAll="0"/>
    <pivotField showAll="0"/>
    <pivotField showAll="0"/>
    <pivotField dataField="1" numFmtId="169" showAll="0">
      <items count="30">
        <item x="1"/>
        <item x="14"/>
        <item x="17"/>
        <item x="3"/>
        <item x="20"/>
        <item x="11"/>
        <item x="4"/>
        <item x="28"/>
        <item x="21"/>
        <item x="27"/>
        <item x="10"/>
        <item x="8"/>
        <item x="24"/>
        <item x="12"/>
        <item x="23"/>
        <item x="2"/>
        <item x="19"/>
        <item x="7"/>
        <item x="26"/>
        <item x="16"/>
        <item x="6"/>
        <item x="9"/>
        <item x="22"/>
        <item x="5"/>
        <item x="15"/>
        <item x="18"/>
        <item x="13"/>
        <item x="25"/>
        <item x="0"/>
        <item t="default"/>
      </items>
    </pivotField>
    <pivotField numFmtId="1" showAll="0"/>
    <pivotField numFmtId="10" showAll="0"/>
    <pivotField dataField="1" numFmtId="169" showAll="0"/>
    <pivotField numFmtId="169" showAll="0"/>
    <pivotField showAll="0"/>
    <pivotField showAll="0"/>
    <pivotField showAll="0"/>
    <pivotField showAll="0"/>
    <pivotField showAll="0"/>
    <pivotField showAll="0"/>
  </pivotFields>
  <rowFields count="1">
    <field x="10"/>
  </rowFields>
  <rowItems count="4">
    <i>
      <x/>
    </i>
    <i>
      <x v="1"/>
    </i>
    <i>
      <x v="2"/>
    </i>
    <i t="grand">
      <x/>
    </i>
  </rowItems>
  <colFields count="1">
    <field x="-2"/>
  </colFields>
  <colItems count="3">
    <i>
      <x/>
    </i>
    <i i="1">
      <x v="1"/>
    </i>
    <i i="2">
      <x v="2"/>
    </i>
  </colItems>
  <dataFields count="3">
    <dataField name="Sum of Sales" fld="14" baseField="0" baseItem="0"/>
    <dataField name="Sum of Profit" fld="17" baseField="0" baseItem="0"/>
    <dataField name="Count of Customer ID" fld="5"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_Name" sourceName="Region Name">
  <pivotTables>
    <pivotTable tabId="1" name="PivotTable1"/>
  </pivotTables>
  <data>
    <tabular pivotCacheId="1">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Name" cache="Slicer_Region_Name" caption="Region 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7"/>
  <sheetViews>
    <sheetView tabSelected="1" topLeftCell="A28" workbookViewId="0">
      <selection activeCell="D36" sqref="D36"/>
    </sheetView>
  </sheetViews>
  <sheetFormatPr defaultRowHeight="14.4" x14ac:dyDescent="0.3"/>
  <cols>
    <col min="1" max="1" width="10.44140625" bestFit="1" customWidth="1"/>
    <col min="2" max="2" width="14" customWidth="1"/>
    <col min="3" max="3" width="13" style="3" customWidth="1"/>
    <col min="4" max="4" width="13.109375" style="3" customWidth="1"/>
    <col min="5" max="5" width="11.6640625" bestFit="1" customWidth="1"/>
    <col min="6" max="6" width="12.109375" customWidth="1"/>
    <col min="7" max="7" width="19.33203125" bestFit="1" customWidth="1"/>
    <col min="13" max="13" width="13.33203125" customWidth="1"/>
    <col min="15" max="15" width="12.109375" style="5" bestFit="1" customWidth="1"/>
    <col min="16" max="16" width="8.88671875" style="9"/>
    <col min="17" max="17" width="8.88671875" style="7"/>
    <col min="18" max="19" width="10.44140625" style="5" bestFit="1" customWidth="1"/>
    <col min="23" max="23" width="11.109375" customWidth="1"/>
  </cols>
  <sheetData>
    <row r="1" spans="1:25" s="13" customFormat="1" x14ac:dyDescent="0.3">
      <c r="A1" s="1" t="s">
        <v>0</v>
      </c>
      <c r="B1" s="1" t="s">
        <v>1</v>
      </c>
      <c r="C1" s="2" t="s">
        <v>2</v>
      </c>
      <c r="D1" s="2" t="s">
        <v>3</v>
      </c>
      <c r="E1" s="1" t="s">
        <v>4</v>
      </c>
      <c r="F1" s="1" t="s">
        <v>5</v>
      </c>
      <c r="G1" s="1" t="s">
        <v>6</v>
      </c>
      <c r="H1" s="1" t="s">
        <v>7</v>
      </c>
      <c r="I1" s="1" t="s">
        <v>8</v>
      </c>
      <c r="J1" s="10" t="s">
        <v>222</v>
      </c>
      <c r="K1" s="1" t="s">
        <v>10</v>
      </c>
      <c r="L1" s="1" t="s">
        <v>11</v>
      </c>
      <c r="M1" s="12" t="s">
        <v>12</v>
      </c>
      <c r="N1" s="1" t="s">
        <v>13</v>
      </c>
      <c r="O1" s="4" t="s">
        <v>14</v>
      </c>
      <c r="P1" s="8" t="s">
        <v>15</v>
      </c>
      <c r="Q1" s="6" t="s">
        <v>16</v>
      </c>
      <c r="R1" s="19" t="s">
        <v>17</v>
      </c>
      <c r="S1" s="4" t="s">
        <v>18</v>
      </c>
      <c r="T1" s="1" t="s">
        <v>19</v>
      </c>
      <c r="U1" s="1" t="s">
        <v>20</v>
      </c>
      <c r="V1" s="1" t="s">
        <v>21</v>
      </c>
      <c r="W1" s="1" t="s">
        <v>22</v>
      </c>
      <c r="X1" s="1" t="s">
        <v>23</v>
      </c>
      <c r="Y1" s="1" t="s">
        <v>24</v>
      </c>
    </row>
    <row r="2" spans="1:25" x14ac:dyDescent="0.3">
      <c r="A2">
        <v>1</v>
      </c>
      <c r="B2" t="s">
        <v>25</v>
      </c>
      <c r="C2" s="3">
        <v>45296</v>
      </c>
      <c r="D2" s="3">
        <v>45299</v>
      </c>
      <c r="E2" t="s">
        <v>26</v>
      </c>
      <c r="F2" t="s">
        <v>27</v>
      </c>
      <c r="G2" t="s">
        <v>28</v>
      </c>
      <c r="H2" t="s">
        <v>29</v>
      </c>
      <c r="I2" t="s">
        <v>30</v>
      </c>
      <c r="J2" t="s">
        <v>31</v>
      </c>
      <c r="K2" t="s">
        <v>32</v>
      </c>
      <c r="L2" t="s">
        <v>33</v>
      </c>
      <c r="M2" t="s">
        <v>34</v>
      </c>
      <c r="N2" t="s">
        <v>35</v>
      </c>
      <c r="O2" s="5">
        <v>89999</v>
      </c>
      <c r="P2" s="9">
        <v>2</v>
      </c>
      <c r="Q2" s="7">
        <v>0.05</v>
      </c>
      <c r="R2" s="5">
        <v>12000</v>
      </c>
      <c r="S2" s="5">
        <v>2500</v>
      </c>
      <c r="T2" t="s">
        <v>36</v>
      </c>
      <c r="U2">
        <v>2024</v>
      </c>
      <c r="V2" t="s">
        <v>37</v>
      </c>
      <c r="W2">
        <v>3</v>
      </c>
      <c r="X2">
        <v>0.13333481483127591</v>
      </c>
      <c r="Y2">
        <v>44999.5</v>
      </c>
    </row>
    <row r="3" spans="1:25" x14ac:dyDescent="0.3">
      <c r="A3">
        <v>2</v>
      </c>
      <c r="B3" t="s">
        <v>38</v>
      </c>
      <c r="C3" s="3">
        <v>45303</v>
      </c>
      <c r="D3" s="3">
        <v>45306</v>
      </c>
      <c r="E3" t="s">
        <v>39</v>
      </c>
      <c r="F3" t="s">
        <v>40</v>
      </c>
      <c r="G3" t="s">
        <v>41</v>
      </c>
      <c r="H3" t="s">
        <v>42</v>
      </c>
      <c r="I3" t="s">
        <v>30</v>
      </c>
      <c r="J3" t="s">
        <v>31</v>
      </c>
      <c r="K3" t="s">
        <v>43</v>
      </c>
      <c r="L3" t="s">
        <v>44</v>
      </c>
      <c r="M3" t="s">
        <v>45</v>
      </c>
      <c r="N3" t="s">
        <v>46</v>
      </c>
      <c r="O3" s="5">
        <v>1499</v>
      </c>
      <c r="P3" s="9">
        <v>10</v>
      </c>
      <c r="Q3" s="7">
        <v>0.1</v>
      </c>
      <c r="R3" s="5">
        <v>350</v>
      </c>
      <c r="S3" s="5">
        <v>180</v>
      </c>
      <c r="T3" t="s">
        <v>47</v>
      </c>
      <c r="U3">
        <v>2024</v>
      </c>
      <c r="V3" t="s">
        <v>37</v>
      </c>
      <c r="W3">
        <v>3</v>
      </c>
      <c r="X3">
        <v>0.2334889926617745</v>
      </c>
      <c r="Y3">
        <v>149.9</v>
      </c>
    </row>
    <row r="4" spans="1:25" x14ac:dyDescent="0.3">
      <c r="A4">
        <v>3</v>
      </c>
      <c r="B4" t="s">
        <v>48</v>
      </c>
      <c r="C4" s="3">
        <v>45309</v>
      </c>
      <c r="D4" s="3">
        <v>45313</v>
      </c>
      <c r="E4" t="s">
        <v>26</v>
      </c>
      <c r="F4" t="s">
        <v>49</v>
      </c>
      <c r="G4" t="s">
        <v>28</v>
      </c>
      <c r="H4" t="s">
        <v>50</v>
      </c>
      <c r="I4" t="s">
        <v>50</v>
      </c>
      <c r="J4" t="s">
        <v>51</v>
      </c>
      <c r="K4" t="s">
        <v>52</v>
      </c>
      <c r="L4" t="s">
        <v>53</v>
      </c>
      <c r="M4" t="s">
        <v>54</v>
      </c>
      <c r="N4" t="s">
        <v>35</v>
      </c>
      <c r="O4" s="5">
        <v>12500</v>
      </c>
      <c r="P4" s="9">
        <v>3</v>
      </c>
      <c r="Q4" s="7">
        <v>0.08</v>
      </c>
      <c r="R4" s="5">
        <v>2200</v>
      </c>
      <c r="S4" s="5">
        <v>600</v>
      </c>
      <c r="T4" t="s">
        <v>47</v>
      </c>
      <c r="U4">
        <v>2024</v>
      </c>
      <c r="V4" t="s">
        <v>37</v>
      </c>
      <c r="W4">
        <v>4</v>
      </c>
      <c r="X4">
        <v>0.17599999999999999</v>
      </c>
      <c r="Y4">
        <v>4166.666666666667</v>
      </c>
    </row>
    <row r="5" spans="1:25" x14ac:dyDescent="0.3">
      <c r="A5">
        <v>4</v>
      </c>
      <c r="B5" t="s">
        <v>55</v>
      </c>
      <c r="C5" s="3">
        <v>45325</v>
      </c>
      <c r="D5" s="3">
        <v>45328</v>
      </c>
      <c r="E5" t="s">
        <v>56</v>
      </c>
      <c r="F5" t="s">
        <v>57</v>
      </c>
      <c r="G5" t="s">
        <v>58</v>
      </c>
      <c r="H5" t="s">
        <v>59</v>
      </c>
      <c r="I5" t="s">
        <v>60</v>
      </c>
      <c r="J5" t="s">
        <v>61</v>
      </c>
      <c r="K5" t="s">
        <v>32</v>
      </c>
      <c r="L5" t="s">
        <v>62</v>
      </c>
      <c r="M5" t="s">
        <v>63</v>
      </c>
      <c r="N5" t="s">
        <v>35</v>
      </c>
      <c r="O5" s="5">
        <v>2999</v>
      </c>
      <c r="P5" s="9">
        <v>5</v>
      </c>
      <c r="Q5" s="7">
        <v>0.05</v>
      </c>
      <c r="R5" s="5">
        <v>700</v>
      </c>
      <c r="S5" s="5">
        <v>200</v>
      </c>
      <c r="T5" t="s">
        <v>36</v>
      </c>
      <c r="U5">
        <v>2024</v>
      </c>
      <c r="V5" t="s">
        <v>64</v>
      </c>
      <c r="W5">
        <v>3</v>
      </c>
      <c r="X5">
        <v>0.23341113704568189</v>
      </c>
      <c r="Y5">
        <v>599.79999999999995</v>
      </c>
    </row>
    <row r="6" spans="1:25" x14ac:dyDescent="0.3">
      <c r="A6">
        <v>5</v>
      </c>
      <c r="B6" t="s">
        <v>65</v>
      </c>
      <c r="C6" s="3">
        <v>45336</v>
      </c>
      <c r="D6" s="3">
        <v>45340</v>
      </c>
      <c r="E6" t="s">
        <v>26</v>
      </c>
      <c r="F6" t="s">
        <v>66</v>
      </c>
      <c r="G6" t="s">
        <v>28</v>
      </c>
      <c r="H6" t="s">
        <v>67</v>
      </c>
      <c r="I6" t="s">
        <v>68</v>
      </c>
      <c r="J6" t="s">
        <v>61</v>
      </c>
      <c r="K6" t="s">
        <v>43</v>
      </c>
      <c r="L6" t="s">
        <v>69</v>
      </c>
      <c r="M6" t="s">
        <v>70</v>
      </c>
      <c r="N6" t="s">
        <v>46</v>
      </c>
      <c r="O6" s="5">
        <v>4250</v>
      </c>
      <c r="P6" s="9">
        <v>20</v>
      </c>
      <c r="Q6" s="7">
        <v>0.12</v>
      </c>
      <c r="R6" s="5">
        <v>600</v>
      </c>
      <c r="S6" s="5">
        <v>250</v>
      </c>
      <c r="T6" t="s">
        <v>47</v>
      </c>
      <c r="U6">
        <v>2024</v>
      </c>
      <c r="V6" t="s">
        <v>64</v>
      </c>
      <c r="W6">
        <v>4</v>
      </c>
      <c r="X6">
        <v>0.14117647058823529</v>
      </c>
      <c r="Y6">
        <v>212.5</v>
      </c>
    </row>
    <row r="7" spans="1:25" x14ac:dyDescent="0.3">
      <c r="A7">
        <v>6</v>
      </c>
      <c r="B7" t="s">
        <v>71</v>
      </c>
      <c r="C7" s="3">
        <v>45349</v>
      </c>
      <c r="D7" s="3">
        <v>45353</v>
      </c>
      <c r="E7" t="s">
        <v>39</v>
      </c>
      <c r="F7" t="s">
        <v>72</v>
      </c>
      <c r="G7" t="s">
        <v>41</v>
      </c>
      <c r="H7" t="s">
        <v>73</v>
      </c>
      <c r="I7" t="s">
        <v>74</v>
      </c>
      <c r="J7" t="s">
        <v>31</v>
      </c>
      <c r="K7" t="s">
        <v>32</v>
      </c>
      <c r="L7" t="s">
        <v>75</v>
      </c>
      <c r="M7" t="s">
        <v>76</v>
      </c>
      <c r="N7" t="s">
        <v>35</v>
      </c>
      <c r="O7" s="5">
        <v>28500</v>
      </c>
      <c r="P7" s="9">
        <v>2</v>
      </c>
      <c r="Q7" s="7">
        <v>7.0000000000000007E-2</v>
      </c>
      <c r="R7" s="5">
        <v>4800</v>
      </c>
      <c r="S7" s="5">
        <v>900</v>
      </c>
      <c r="T7" t="s">
        <v>36</v>
      </c>
      <c r="U7">
        <v>2024</v>
      </c>
      <c r="V7" t="s">
        <v>64</v>
      </c>
      <c r="W7">
        <v>4</v>
      </c>
      <c r="X7">
        <v>0.16842105263157889</v>
      </c>
      <c r="Y7">
        <v>14250</v>
      </c>
    </row>
    <row r="8" spans="1:25" x14ac:dyDescent="0.3">
      <c r="A8">
        <v>7</v>
      </c>
      <c r="B8" t="s">
        <v>77</v>
      </c>
      <c r="C8" s="3">
        <v>45359</v>
      </c>
      <c r="D8" s="3">
        <v>45363</v>
      </c>
      <c r="E8" t="s">
        <v>26</v>
      </c>
      <c r="F8" t="s">
        <v>78</v>
      </c>
      <c r="G8" t="s">
        <v>28</v>
      </c>
      <c r="H8" t="s">
        <v>79</v>
      </c>
      <c r="I8" t="s">
        <v>80</v>
      </c>
      <c r="J8" t="s">
        <v>81</v>
      </c>
      <c r="K8" t="s">
        <v>52</v>
      </c>
      <c r="L8" t="s">
        <v>82</v>
      </c>
      <c r="M8" t="s">
        <v>83</v>
      </c>
      <c r="N8" t="s">
        <v>46</v>
      </c>
      <c r="O8" s="5">
        <v>18900</v>
      </c>
      <c r="P8" s="9">
        <v>2</v>
      </c>
      <c r="Q8" s="7">
        <v>0.15</v>
      </c>
      <c r="R8" s="5">
        <v>2500</v>
      </c>
      <c r="S8" s="5">
        <v>850</v>
      </c>
      <c r="T8" t="s">
        <v>47</v>
      </c>
      <c r="U8">
        <v>2024</v>
      </c>
      <c r="V8" t="s">
        <v>84</v>
      </c>
      <c r="W8">
        <v>4</v>
      </c>
      <c r="X8">
        <v>0.1322751322751323</v>
      </c>
      <c r="Y8">
        <v>9450</v>
      </c>
    </row>
    <row r="9" spans="1:25" x14ac:dyDescent="0.3">
      <c r="A9">
        <v>8</v>
      </c>
      <c r="B9" t="s">
        <v>85</v>
      </c>
      <c r="C9" s="3">
        <v>45370</v>
      </c>
      <c r="D9" s="3">
        <v>45373</v>
      </c>
      <c r="E9" t="s">
        <v>56</v>
      </c>
      <c r="F9" t="s">
        <v>86</v>
      </c>
      <c r="G9" t="s">
        <v>58</v>
      </c>
      <c r="H9" t="s">
        <v>87</v>
      </c>
      <c r="I9" t="s">
        <v>88</v>
      </c>
      <c r="J9" t="s">
        <v>61</v>
      </c>
      <c r="K9" t="s">
        <v>32</v>
      </c>
      <c r="L9" t="s">
        <v>33</v>
      </c>
      <c r="M9" t="s">
        <v>89</v>
      </c>
      <c r="N9" t="s">
        <v>35</v>
      </c>
      <c r="O9" s="5">
        <v>15999</v>
      </c>
      <c r="P9" s="9">
        <v>4</v>
      </c>
      <c r="Q9" s="7">
        <v>0.05</v>
      </c>
      <c r="R9" s="5">
        <v>3200</v>
      </c>
      <c r="S9" s="5">
        <v>450</v>
      </c>
      <c r="T9" t="s">
        <v>36</v>
      </c>
      <c r="U9">
        <v>2024</v>
      </c>
      <c r="V9" t="s">
        <v>84</v>
      </c>
      <c r="W9">
        <v>3</v>
      </c>
      <c r="X9">
        <v>0.20001250078129881</v>
      </c>
      <c r="Y9">
        <v>3999.75</v>
      </c>
    </row>
    <row r="10" spans="1:25" x14ac:dyDescent="0.3">
      <c r="A10">
        <v>9</v>
      </c>
      <c r="B10" t="s">
        <v>90</v>
      </c>
      <c r="C10" s="3">
        <v>45384</v>
      </c>
      <c r="D10" s="3">
        <v>45388</v>
      </c>
      <c r="E10" t="s">
        <v>26</v>
      </c>
      <c r="F10" t="s">
        <v>91</v>
      </c>
      <c r="G10" t="s">
        <v>28</v>
      </c>
      <c r="H10" t="s">
        <v>92</v>
      </c>
      <c r="I10" t="s">
        <v>93</v>
      </c>
      <c r="J10" t="s">
        <v>51</v>
      </c>
      <c r="K10" t="s">
        <v>43</v>
      </c>
      <c r="L10" t="s">
        <v>94</v>
      </c>
      <c r="M10" t="s">
        <v>95</v>
      </c>
      <c r="N10" t="s">
        <v>46</v>
      </c>
      <c r="O10" s="5">
        <v>6200</v>
      </c>
      <c r="P10" s="9">
        <v>8</v>
      </c>
      <c r="Q10" s="7">
        <v>0.1</v>
      </c>
      <c r="R10" s="5">
        <v>900</v>
      </c>
      <c r="S10" s="5">
        <v>350</v>
      </c>
      <c r="T10" t="s">
        <v>47</v>
      </c>
      <c r="U10">
        <v>2024</v>
      </c>
      <c r="V10" t="s">
        <v>96</v>
      </c>
      <c r="W10">
        <v>4</v>
      </c>
      <c r="X10">
        <v>0.14516129032258071</v>
      </c>
      <c r="Y10">
        <v>775</v>
      </c>
    </row>
    <row r="11" spans="1:25" x14ac:dyDescent="0.3">
      <c r="A11">
        <v>10</v>
      </c>
      <c r="B11" t="s">
        <v>97</v>
      </c>
      <c r="C11" s="3">
        <v>45399</v>
      </c>
      <c r="D11" s="3">
        <v>45402</v>
      </c>
      <c r="E11" t="s">
        <v>39</v>
      </c>
      <c r="F11" t="s">
        <v>98</v>
      </c>
      <c r="G11" t="s">
        <v>41</v>
      </c>
      <c r="H11" t="s">
        <v>99</v>
      </c>
      <c r="I11" t="s">
        <v>74</v>
      </c>
      <c r="J11" t="s">
        <v>31</v>
      </c>
      <c r="K11" t="s">
        <v>52</v>
      </c>
      <c r="L11" t="s">
        <v>100</v>
      </c>
      <c r="M11" t="s">
        <v>101</v>
      </c>
      <c r="N11" t="s">
        <v>35</v>
      </c>
      <c r="O11" s="5">
        <v>21500</v>
      </c>
      <c r="P11" s="9">
        <v>3</v>
      </c>
      <c r="Q11" s="7">
        <v>0.18</v>
      </c>
      <c r="R11" s="5">
        <v>1800</v>
      </c>
      <c r="S11" s="5">
        <v>700</v>
      </c>
      <c r="T11" t="s">
        <v>36</v>
      </c>
      <c r="U11">
        <v>2024</v>
      </c>
      <c r="V11" t="s">
        <v>96</v>
      </c>
      <c r="W11">
        <v>3</v>
      </c>
      <c r="X11">
        <v>8.3720930232558138E-2</v>
      </c>
      <c r="Y11">
        <v>7166.666666666667</v>
      </c>
    </row>
    <row r="12" spans="1:25" x14ac:dyDescent="0.3">
      <c r="A12">
        <v>11</v>
      </c>
      <c r="B12" t="s">
        <v>102</v>
      </c>
      <c r="C12" s="3">
        <v>45417</v>
      </c>
      <c r="D12" s="3">
        <v>45420</v>
      </c>
      <c r="E12" t="s">
        <v>26</v>
      </c>
      <c r="F12" t="s">
        <v>103</v>
      </c>
      <c r="G12" t="s">
        <v>28</v>
      </c>
      <c r="H12" t="s">
        <v>104</v>
      </c>
      <c r="I12" t="s">
        <v>105</v>
      </c>
      <c r="J12" t="s">
        <v>51</v>
      </c>
      <c r="K12" t="s">
        <v>32</v>
      </c>
      <c r="L12" t="s">
        <v>62</v>
      </c>
      <c r="M12" t="s">
        <v>106</v>
      </c>
      <c r="N12" t="s">
        <v>35</v>
      </c>
      <c r="O12" s="5">
        <v>5499</v>
      </c>
      <c r="P12" s="9">
        <v>6</v>
      </c>
      <c r="Q12" s="7">
        <v>0.06</v>
      </c>
      <c r="R12" s="5">
        <v>1100</v>
      </c>
      <c r="S12" s="5">
        <v>180</v>
      </c>
      <c r="T12" t="s">
        <v>47</v>
      </c>
      <c r="U12">
        <v>2024</v>
      </c>
      <c r="V12" t="s">
        <v>107</v>
      </c>
      <c r="W12">
        <v>3</v>
      </c>
      <c r="X12">
        <v>0.2000363702491362</v>
      </c>
      <c r="Y12">
        <v>916.5</v>
      </c>
    </row>
    <row r="13" spans="1:25" x14ac:dyDescent="0.3">
      <c r="A13">
        <v>12</v>
      </c>
      <c r="B13" t="s">
        <v>108</v>
      </c>
      <c r="C13" s="3">
        <v>45433</v>
      </c>
      <c r="D13" s="3">
        <v>45437</v>
      </c>
      <c r="E13" t="s">
        <v>26</v>
      </c>
      <c r="F13" t="s">
        <v>109</v>
      </c>
      <c r="G13" t="s">
        <v>41</v>
      </c>
      <c r="H13" t="s">
        <v>110</v>
      </c>
      <c r="I13" t="s">
        <v>111</v>
      </c>
      <c r="J13" t="s">
        <v>61</v>
      </c>
      <c r="K13" t="s">
        <v>43</v>
      </c>
      <c r="L13" t="s">
        <v>112</v>
      </c>
      <c r="M13" t="s">
        <v>113</v>
      </c>
      <c r="N13" t="s">
        <v>46</v>
      </c>
      <c r="O13" s="5">
        <v>3800</v>
      </c>
      <c r="P13" s="9">
        <v>7</v>
      </c>
      <c r="Q13" s="7">
        <v>0.09</v>
      </c>
      <c r="R13" s="5">
        <v>550</v>
      </c>
      <c r="S13" s="5">
        <v>300</v>
      </c>
      <c r="T13" t="s">
        <v>47</v>
      </c>
      <c r="U13">
        <v>2024</v>
      </c>
      <c r="V13" t="s">
        <v>107</v>
      </c>
      <c r="W13">
        <v>4</v>
      </c>
      <c r="X13">
        <v>0.14473684210526319</v>
      </c>
      <c r="Y13">
        <v>542.85714285714289</v>
      </c>
    </row>
    <row r="14" spans="1:25" x14ac:dyDescent="0.3">
      <c r="A14">
        <v>13</v>
      </c>
      <c r="B14" t="s">
        <v>114</v>
      </c>
      <c r="C14" s="3">
        <v>45449</v>
      </c>
      <c r="D14" s="3">
        <v>45453</v>
      </c>
      <c r="E14" t="s">
        <v>56</v>
      </c>
      <c r="F14" t="s">
        <v>115</v>
      </c>
      <c r="G14" t="s">
        <v>28</v>
      </c>
      <c r="H14" t="s">
        <v>116</v>
      </c>
      <c r="I14" t="s">
        <v>117</v>
      </c>
      <c r="J14" t="s">
        <v>81</v>
      </c>
      <c r="K14" t="s">
        <v>52</v>
      </c>
      <c r="L14" t="s">
        <v>53</v>
      </c>
      <c r="M14" t="s">
        <v>118</v>
      </c>
      <c r="N14" t="s">
        <v>46</v>
      </c>
      <c r="O14" s="5">
        <v>9800</v>
      </c>
      <c r="P14" s="9">
        <v>4</v>
      </c>
      <c r="Q14" s="7">
        <v>0.12</v>
      </c>
      <c r="R14" s="5">
        <v>1300</v>
      </c>
      <c r="S14" s="5">
        <v>450</v>
      </c>
      <c r="T14" t="s">
        <v>36</v>
      </c>
      <c r="U14">
        <v>2024</v>
      </c>
      <c r="V14" t="s">
        <v>119</v>
      </c>
      <c r="W14">
        <v>4</v>
      </c>
      <c r="X14">
        <v>0.1326530612244898</v>
      </c>
      <c r="Y14">
        <v>2450</v>
      </c>
    </row>
    <row r="15" spans="1:25" x14ac:dyDescent="0.3">
      <c r="A15">
        <v>14</v>
      </c>
      <c r="B15" t="s">
        <v>120</v>
      </c>
      <c r="C15" s="3">
        <v>45462</v>
      </c>
      <c r="D15" s="3">
        <v>45466</v>
      </c>
      <c r="E15" t="s">
        <v>39</v>
      </c>
      <c r="F15" t="s">
        <v>121</v>
      </c>
      <c r="G15" t="s">
        <v>58</v>
      </c>
      <c r="H15" t="s">
        <v>122</v>
      </c>
      <c r="I15" t="s">
        <v>30</v>
      </c>
      <c r="J15" t="s">
        <v>31</v>
      </c>
      <c r="K15" t="s">
        <v>32</v>
      </c>
      <c r="L15" t="s">
        <v>123</v>
      </c>
      <c r="M15" t="s">
        <v>124</v>
      </c>
      <c r="N15" t="s">
        <v>35</v>
      </c>
      <c r="O15" s="5">
        <v>67500</v>
      </c>
      <c r="P15" s="9">
        <v>2</v>
      </c>
      <c r="Q15" s="7">
        <v>0.04</v>
      </c>
      <c r="R15" s="5">
        <v>8500</v>
      </c>
      <c r="S15" s="5">
        <v>1200</v>
      </c>
      <c r="T15" t="s">
        <v>36</v>
      </c>
      <c r="U15">
        <v>2024</v>
      </c>
      <c r="V15" t="s">
        <v>119</v>
      </c>
      <c r="W15">
        <v>4</v>
      </c>
      <c r="X15">
        <v>0.12592592592592591</v>
      </c>
      <c r="Y15">
        <v>33750</v>
      </c>
    </row>
    <row r="16" spans="1:25" x14ac:dyDescent="0.3">
      <c r="A16">
        <v>15</v>
      </c>
      <c r="B16" t="s">
        <v>125</v>
      </c>
      <c r="C16" s="3">
        <v>45477</v>
      </c>
      <c r="D16" s="3">
        <v>45481</v>
      </c>
      <c r="E16" t="s">
        <v>26</v>
      </c>
      <c r="F16" t="s">
        <v>126</v>
      </c>
      <c r="G16" t="s">
        <v>28</v>
      </c>
      <c r="H16" t="s">
        <v>127</v>
      </c>
      <c r="I16" t="s">
        <v>127</v>
      </c>
      <c r="J16" t="s">
        <v>51</v>
      </c>
      <c r="K16" t="s">
        <v>43</v>
      </c>
      <c r="L16" t="s">
        <v>128</v>
      </c>
      <c r="M16" t="s">
        <v>129</v>
      </c>
      <c r="N16" t="s">
        <v>46</v>
      </c>
      <c r="O16" s="5">
        <v>2100</v>
      </c>
      <c r="P16" s="9">
        <v>15</v>
      </c>
      <c r="Q16" s="7">
        <v>0.05</v>
      </c>
      <c r="R16" s="5">
        <v>300</v>
      </c>
      <c r="S16" s="5">
        <v>140</v>
      </c>
      <c r="T16" t="s">
        <v>47</v>
      </c>
      <c r="U16">
        <v>2024</v>
      </c>
      <c r="V16" t="s">
        <v>130</v>
      </c>
      <c r="W16">
        <v>4</v>
      </c>
      <c r="X16">
        <v>0.14285714285714279</v>
      </c>
      <c r="Y16">
        <v>140</v>
      </c>
    </row>
    <row r="17" spans="1:25" x14ac:dyDescent="0.3">
      <c r="A17">
        <v>16</v>
      </c>
      <c r="B17" t="s">
        <v>131</v>
      </c>
      <c r="C17" s="3">
        <v>45491</v>
      </c>
      <c r="D17" s="3">
        <v>45495</v>
      </c>
      <c r="E17" t="s">
        <v>26</v>
      </c>
      <c r="F17" t="s">
        <v>132</v>
      </c>
      <c r="G17" t="s">
        <v>41</v>
      </c>
      <c r="H17" t="s">
        <v>133</v>
      </c>
      <c r="I17" t="s">
        <v>88</v>
      </c>
      <c r="J17" t="s">
        <v>61</v>
      </c>
      <c r="K17" t="s">
        <v>52</v>
      </c>
      <c r="L17" t="s">
        <v>82</v>
      </c>
      <c r="M17" t="s">
        <v>134</v>
      </c>
      <c r="N17" t="s">
        <v>35</v>
      </c>
      <c r="O17" s="5">
        <v>32500</v>
      </c>
      <c r="P17" s="9">
        <v>1</v>
      </c>
      <c r="Q17" s="7">
        <v>0.1</v>
      </c>
      <c r="R17" s="5">
        <v>4200</v>
      </c>
      <c r="S17" s="5">
        <v>900</v>
      </c>
      <c r="T17" t="s">
        <v>36</v>
      </c>
      <c r="U17">
        <v>2024</v>
      </c>
      <c r="V17" t="s">
        <v>130</v>
      </c>
      <c r="W17">
        <v>4</v>
      </c>
      <c r="X17">
        <v>0.1292307692307692</v>
      </c>
      <c r="Y17">
        <v>32500</v>
      </c>
    </row>
    <row r="18" spans="1:25" x14ac:dyDescent="0.3">
      <c r="A18">
        <v>17</v>
      </c>
      <c r="B18" t="s">
        <v>135</v>
      </c>
      <c r="C18" s="3">
        <v>45507</v>
      </c>
      <c r="D18" s="3">
        <v>45511</v>
      </c>
      <c r="E18" t="s">
        <v>56</v>
      </c>
      <c r="F18" t="s">
        <v>136</v>
      </c>
      <c r="G18" t="s">
        <v>28</v>
      </c>
      <c r="H18" t="s">
        <v>137</v>
      </c>
      <c r="I18" t="s">
        <v>138</v>
      </c>
      <c r="J18" t="s">
        <v>139</v>
      </c>
      <c r="K18" t="s">
        <v>32</v>
      </c>
      <c r="L18" t="s">
        <v>62</v>
      </c>
      <c r="M18" t="s">
        <v>140</v>
      </c>
      <c r="N18" t="s">
        <v>35</v>
      </c>
      <c r="O18" s="5">
        <v>18500</v>
      </c>
      <c r="P18" s="9">
        <v>3</v>
      </c>
      <c r="Q18" s="7">
        <v>0.08</v>
      </c>
      <c r="R18" s="5">
        <v>2900</v>
      </c>
      <c r="S18" s="5">
        <v>500</v>
      </c>
      <c r="T18" t="s">
        <v>36</v>
      </c>
      <c r="U18">
        <v>2024</v>
      </c>
      <c r="V18" t="s">
        <v>141</v>
      </c>
      <c r="W18">
        <v>4</v>
      </c>
      <c r="X18">
        <v>0.15675675675675679</v>
      </c>
      <c r="Y18">
        <v>6166.666666666667</v>
      </c>
    </row>
    <row r="19" spans="1:25" x14ac:dyDescent="0.3">
      <c r="A19">
        <v>18</v>
      </c>
      <c r="B19" t="s">
        <v>142</v>
      </c>
      <c r="C19" s="3">
        <v>45520</v>
      </c>
      <c r="D19" s="3">
        <v>45524</v>
      </c>
      <c r="E19" t="s">
        <v>39</v>
      </c>
      <c r="F19" t="s">
        <v>143</v>
      </c>
      <c r="G19" t="s">
        <v>58</v>
      </c>
      <c r="H19" t="s">
        <v>144</v>
      </c>
      <c r="I19" t="s">
        <v>145</v>
      </c>
      <c r="J19" t="s">
        <v>81</v>
      </c>
      <c r="K19" t="s">
        <v>43</v>
      </c>
      <c r="L19" t="s">
        <v>44</v>
      </c>
      <c r="M19" t="s">
        <v>146</v>
      </c>
      <c r="N19" t="s">
        <v>46</v>
      </c>
      <c r="O19" s="5">
        <v>2750</v>
      </c>
      <c r="P19" s="9">
        <v>12</v>
      </c>
      <c r="Q19" s="7">
        <v>0.14000000000000001</v>
      </c>
      <c r="R19" s="5">
        <v>380</v>
      </c>
      <c r="S19" s="5">
        <v>220</v>
      </c>
      <c r="T19" t="s">
        <v>47</v>
      </c>
      <c r="U19">
        <v>2024</v>
      </c>
      <c r="V19" t="s">
        <v>141</v>
      </c>
      <c r="W19">
        <v>4</v>
      </c>
      <c r="X19">
        <v>0.13818181818181821</v>
      </c>
      <c r="Y19">
        <v>229.16666666666671</v>
      </c>
    </row>
    <row r="20" spans="1:25" x14ac:dyDescent="0.3">
      <c r="A20">
        <v>19</v>
      </c>
      <c r="B20" t="s">
        <v>147</v>
      </c>
      <c r="C20" s="3">
        <v>45540</v>
      </c>
      <c r="D20" s="3">
        <v>45544</v>
      </c>
      <c r="E20" t="s">
        <v>26</v>
      </c>
      <c r="F20" t="s">
        <v>148</v>
      </c>
      <c r="G20" t="s">
        <v>41</v>
      </c>
      <c r="H20" t="s">
        <v>149</v>
      </c>
      <c r="I20" t="s">
        <v>150</v>
      </c>
      <c r="J20" t="s">
        <v>51</v>
      </c>
      <c r="K20" t="s">
        <v>32</v>
      </c>
      <c r="L20" t="s">
        <v>33</v>
      </c>
      <c r="M20" t="s">
        <v>34</v>
      </c>
      <c r="N20" t="s">
        <v>35</v>
      </c>
      <c r="O20" s="5">
        <v>45999</v>
      </c>
      <c r="P20" s="9">
        <v>2</v>
      </c>
      <c r="Q20" s="7">
        <v>0.06</v>
      </c>
      <c r="R20" s="5">
        <v>6200</v>
      </c>
      <c r="S20" s="5">
        <v>650</v>
      </c>
      <c r="T20" t="s">
        <v>36</v>
      </c>
      <c r="U20">
        <v>2024</v>
      </c>
      <c r="V20" t="s">
        <v>151</v>
      </c>
      <c r="W20">
        <v>4</v>
      </c>
      <c r="X20">
        <v>0.1347855388160612</v>
      </c>
      <c r="Y20">
        <v>22999.5</v>
      </c>
    </row>
    <row r="21" spans="1:25" x14ac:dyDescent="0.3">
      <c r="A21">
        <v>20</v>
      </c>
      <c r="B21" t="s">
        <v>152</v>
      </c>
      <c r="C21" s="3">
        <v>45558</v>
      </c>
      <c r="D21" s="3">
        <v>45562</v>
      </c>
      <c r="E21" t="s">
        <v>26</v>
      </c>
      <c r="F21" t="s">
        <v>153</v>
      </c>
      <c r="G21" t="s">
        <v>28</v>
      </c>
      <c r="H21" t="s">
        <v>154</v>
      </c>
      <c r="I21" t="s">
        <v>155</v>
      </c>
      <c r="J21" t="s">
        <v>61</v>
      </c>
      <c r="K21" t="s">
        <v>52</v>
      </c>
      <c r="L21" t="s">
        <v>156</v>
      </c>
      <c r="M21" t="s">
        <v>157</v>
      </c>
      <c r="N21" t="s">
        <v>46</v>
      </c>
      <c r="O21" s="5">
        <v>14500</v>
      </c>
      <c r="P21" s="9">
        <v>3</v>
      </c>
      <c r="Q21" s="7">
        <v>0.11</v>
      </c>
      <c r="R21" s="5">
        <v>1900</v>
      </c>
      <c r="S21" s="5">
        <v>600</v>
      </c>
      <c r="T21" t="s">
        <v>47</v>
      </c>
      <c r="U21">
        <v>2024</v>
      </c>
      <c r="V21" t="s">
        <v>151</v>
      </c>
      <c r="W21">
        <v>4</v>
      </c>
      <c r="X21">
        <v>0.1310344827586207</v>
      </c>
      <c r="Y21">
        <v>4833.333333333333</v>
      </c>
    </row>
    <row r="22" spans="1:25" x14ac:dyDescent="0.3">
      <c r="A22">
        <v>21</v>
      </c>
      <c r="B22" t="s">
        <v>158</v>
      </c>
      <c r="C22" s="3">
        <v>45572</v>
      </c>
      <c r="D22" s="3">
        <v>45575</v>
      </c>
      <c r="E22" t="s">
        <v>56</v>
      </c>
      <c r="F22" t="s">
        <v>159</v>
      </c>
      <c r="G22" t="s">
        <v>41</v>
      </c>
      <c r="H22" t="s">
        <v>160</v>
      </c>
      <c r="I22" t="s">
        <v>30</v>
      </c>
      <c r="J22" t="s">
        <v>31</v>
      </c>
      <c r="K22" t="s">
        <v>43</v>
      </c>
      <c r="L22" t="s">
        <v>69</v>
      </c>
      <c r="M22" t="s">
        <v>161</v>
      </c>
      <c r="N22" t="s">
        <v>46</v>
      </c>
      <c r="O22" s="5">
        <v>3250</v>
      </c>
      <c r="P22" s="9">
        <v>25</v>
      </c>
      <c r="Q22" s="7">
        <v>0.08</v>
      </c>
      <c r="R22" s="5">
        <v>520</v>
      </c>
      <c r="S22" s="5">
        <v>180</v>
      </c>
      <c r="T22" t="s">
        <v>36</v>
      </c>
      <c r="U22">
        <v>2024</v>
      </c>
      <c r="V22" t="s">
        <v>162</v>
      </c>
      <c r="W22">
        <v>3</v>
      </c>
      <c r="X22">
        <v>0.16</v>
      </c>
      <c r="Y22">
        <v>130</v>
      </c>
    </row>
    <row r="23" spans="1:25" x14ac:dyDescent="0.3">
      <c r="A23">
        <v>22</v>
      </c>
      <c r="B23" t="s">
        <v>163</v>
      </c>
      <c r="C23" s="3">
        <v>45584</v>
      </c>
      <c r="D23" s="3">
        <v>45588</v>
      </c>
      <c r="E23" t="s">
        <v>39</v>
      </c>
      <c r="F23" t="s">
        <v>164</v>
      </c>
      <c r="G23" t="s">
        <v>28</v>
      </c>
      <c r="H23" t="s">
        <v>165</v>
      </c>
      <c r="I23" t="s">
        <v>138</v>
      </c>
      <c r="J23" t="s">
        <v>139</v>
      </c>
      <c r="K23" t="s">
        <v>32</v>
      </c>
      <c r="L23" t="s">
        <v>62</v>
      </c>
      <c r="M23" t="s">
        <v>166</v>
      </c>
      <c r="N23" t="s">
        <v>35</v>
      </c>
      <c r="O23" s="5">
        <v>4999</v>
      </c>
      <c r="P23" s="9">
        <v>5</v>
      </c>
      <c r="Q23" s="7">
        <v>0.05</v>
      </c>
      <c r="R23" s="5">
        <v>900</v>
      </c>
      <c r="S23" s="5">
        <v>200</v>
      </c>
      <c r="T23" t="s">
        <v>47</v>
      </c>
      <c r="U23">
        <v>2024</v>
      </c>
      <c r="V23" t="s">
        <v>162</v>
      </c>
      <c r="W23">
        <v>4</v>
      </c>
      <c r="X23">
        <v>0.18003600720144031</v>
      </c>
      <c r="Y23">
        <v>999.8</v>
      </c>
    </row>
    <row r="24" spans="1:25" x14ac:dyDescent="0.3">
      <c r="A24">
        <v>23</v>
      </c>
      <c r="B24" t="s">
        <v>167</v>
      </c>
      <c r="C24" s="3">
        <v>45600</v>
      </c>
      <c r="D24" s="3">
        <v>45604</v>
      </c>
      <c r="E24" t="s">
        <v>26</v>
      </c>
      <c r="F24" t="s">
        <v>168</v>
      </c>
      <c r="G24" t="s">
        <v>58</v>
      </c>
      <c r="H24" t="s">
        <v>169</v>
      </c>
      <c r="I24" t="s">
        <v>170</v>
      </c>
      <c r="J24" t="s">
        <v>51</v>
      </c>
      <c r="K24" t="s">
        <v>52</v>
      </c>
      <c r="L24" t="s">
        <v>53</v>
      </c>
      <c r="M24" t="s">
        <v>171</v>
      </c>
      <c r="N24" t="s">
        <v>35</v>
      </c>
      <c r="O24" s="5">
        <v>22900</v>
      </c>
      <c r="P24" s="9">
        <v>2</v>
      </c>
      <c r="Q24" s="7">
        <v>0.13</v>
      </c>
      <c r="R24" s="5">
        <v>2700</v>
      </c>
      <c r="S24" s="5">
        <v>700</v>
      </c>
      <c r="T24" t="s">
        <v>36</v>
      </c>
      <c r="U24">
        <v>2024</v>
      </c>
      <c r="V24" t="s">
        <v>172</v>
      </c>
      <c r="W24">
        <v>4</v>
      </c>
      <c r="X24">
        <v>0.11790393013100441</v>
      </c>
      <c r="Y24">
        <v>11450</v>
      </c>
    </row>
    <row r="25" spans="1:25" x14ac:dyDescent="0.3">
      <c r="A25">
        <v>24</v>
      </c>
      <c r="B25" t="s">
        <v>173</v>
      </c>
      <c r="C25" s="3">
        <v>45614</v>
      </c>
      <c r="D25" s="3">
        <v>45617</v>
      </c>
      <c r="E25" t="s">
        <v>56</v>
      </c>
      <c r="F25" t="s">
        <v>174</v>
      </c>
      <c r="G25" t="s">
        <v>41</v>
      </c>
      <c r="H25" t="s">
        <v>175</v>
      </c>
      <c r="I25" t="s">
        <v>175</v>
      </c>
      <c r="J25" t="s">
        <v>31</v>
      </c>
      <c r="K25" t="s">
        <v>32</v>
      </c>
      <c r="L25" t="s">
        <v>176</v>
      </c>
      <c r="M25" t="s">
        <v>177</v>
      </c>
      <c r="N25" t="s">
        <v>46</v>
      </c>
      <c r="O25" s="5">
        <v>11999</v>
      </c>
      <c r="P25" s="9">
        <v>4</v>
      </c>
      <c r="Q25" s="7">
        <v>7.0000000000000007E-2</v>
      </c>
      <c r="R25" s="5">
        <v>1900</v>
      </c>
      <c r="S25" s="5">
        <v>400</v>
      </c>
      <c r="T25" t="s">
        <v>47</v>
      </c>
      <c r="U25">
        <v>2024</v>
      </c>
      <c r="V25" t="s">
        <v>172</v>
      </c>
      <c r="W25">
        <v>3</v>
      </c>
      <c r="X25">
        <v>0.15834652887740641</v>
      </c>
      <c r="Y25">
        <v>2999.75</v>
      </c>
    </row>
    <row r="26" spans="1:25" x14ac:dyDescent="0.3">
      <c r="A26">
        <v>25</v>
      </c>
      <c r="B26" t="s">
        <v>178</v>
      </c>
      <c r="C26" s="3">
        <v>45628</v>
      </c>
      <c r="D26" s="3">
        <v>45632</v>
      </c>
      <c r="E26" t="s">
        <v>26</v>
      </c>
      <c r="F26" t="s">
        <v>179</v>
      </c>
      <c r="G26" t="s">
        <v>28</v>
      </c>
      <c r="H26" t="s">
        <v>180</v>
      </c>
      <c r="I26" t="s">
        <v>181</v>
      </c>
      <c r="J26" t="s">
        <v>81</v>
      </c>
      <c r="K26" t="s">
        <v>43</v>
      </c>
      <c r="L26" t="s">
        <v>94</v>
      </c>
      <c r="M26" t="s">
        <v>182</v>
      </c>
      <c r="N26" t="s">
        <v>46</v>
      </c>
      <c r="O26" s="5">
        <v>8700</v>
      </c>
      <c r="P26" s="9">
        <v>3</v>
      </c>
      <c r="Q26" s="7">
        <v>0.16</v>
      </c>
      <c r="R26" s="5">
        <v>950</v>
      </c>
      <c r="S26" s="5">
        <v>500</v>
      </c>
      <c r="T26" t="s">
        <v>47</v>
      </c>
      <c r="U26">
        <v>2024</v>
      </c>
      <c r="V26" t="s">
        <v>183</v>
      </c>
      <c r="W26">
        <v>4</v>
      </c>
      <c r="X26">
        <v>0.10919540229885059</v>
      </c>
      <c r="Y26">
        <v>2900</v>
      </c>
    </row>
    <row r="27" spans="1:25" x14ac:dyDescent="0.3">
      <c r="A27">
        <v>26</v>
      </c>
      <c r="B27" t="s">
        <v>184</v>
      </c>
      <c r="C27" s="3">
        <v>45641</v>
      </c>
      <c r="D27" s="3">
        <v>45645</v>
      </c>
      <c r="E27" t="s">
        <v>39</v>
      </c>
      <c r="F27" t="s">
        <v>185</v>
      </c>
      <c r="G27" t="s">
        <v>41</v>
      </c>
      <c r="H27" t="s">
        <v>186</v>
      </c>
      <c r="I27" t="s">
        <v>105</v>
      </c>
      <c r="J27" t="s">
        <v>51</v>
      </c>
      <c r="K27" t="s">
        <v>32</v>
      </c>
      <c r="L27" t="s">
        <v>123</v>
      </c>
      <c r="M27" t="s">
        <v>124</v>
      </c>
      <c r="N27" t="s">
        <v>35</v>
      </c>
      <c r="O27" s="5">
        <v>82500</v>
      </c>
      <c r="P27" s="9">
        <v>2</v>
      </c>
      <c r="Q27" s="7">
        <v>0.05</v>
      </c>
      <c r="R27" s="5">
        <v>10500</v>
      </c>
      <c r="S27" s="5">
        <v>1200</v>
      </c>
      <c r="T27" t="s">
        <v>36</v>
      </c>
      <c r="U27">
        <v>2024</v>
      </c>
      <c r="V27" t="s">
        <v>183</v>
      </c>
      <c r="W27">
        <v>4</v>
      </c>
      <c r="X27">
        <v>0.12727272727272729</v>
      </c>
      <c r="Y27">
        <v>41250</v>
      </c>
    </row>
    <row r="28" spans="1:25" x14ac:dyDescent="0.3">
      <c r="A28">
        <v>27</v>
      </c>
      <c r="B28" t="s">
        <v>187</v>
      </c>
      <c r="C28" s="3">
        <v>45665</v>
      </c>
      <c r="D28" s="3">
        <v>45669</v>
      </c>
      <c r="E28" t="s">
        <v>26</v>
      </c>
      <c r="F28" t="s">
        <v>188</v>
      </c>
      <c r="G28" t="s">
        <v>28</v>
      </c>
      <c r="H28" t="s">
        <v>29</v>
      </c>
      <c r="I28" t="s">
        <v>30</v>
      </c>
      <c r="J28" t="s">
        <v>31</v>
      </c>
      <c r="K28" t="s">
        <v>52</v>
      </c>
      <c r="L28" t="s">
        <v>82</v>
      </c>
      <c r="M28" t="s">
        <v>83</v>
      </c>
      <c r="N28" t="s">
        <v>46</v>
      </c>
      <c r="O28" s="5">
        <v>16800</v>
      </c>
      <c r="P28" s="9">
        <v>2</v>
      </c>
      <c r="Q28" s="7">
        <v>0.12</v>
      </c>
      <c r="R28" s="5">
        <v>2100</v>
      </c>
      <c r="S28" s="5">
        <v>800</v>
      </c>
      <c r="T28" t="s">
        <v>47</v>
      </c>
      <c r="U28">
        <v>2025</v>
      </c>
      <c r="V28" t="s">
        <v>37</v>
      </c>
      <c r="W28">
        <v>4</v>
      </c>
      <c r="X28">
        <v>0.125</v>
      </c>
      <c r="Y28">
        <v>8400</v>
      </c>
    </row>
    <row r="29" spans="1:25" x14ac:dyDescent="0.3">
      <c r="A29">
        <v>28</v>
      </c>
      <c r="B29" t="s">
        <v>189</v>
      </c>
      <c r="C29" s="3">
        <v>45678</v>
      </c>
      <c r="D29" s="3">
        <v>45682</v>
      </c>
      <c r="E29" t="s">
        <v>56</v>
      </c>
      <c r="F29" t="s">
        <v>190</v>
      </c>
      <c r="G29" t="s">
        <v>58</v>
      </c>
      <c r="H29" t="s">
        <v>42</v>
      </c>
      <c r="I29" t="s">
        <v>30</v>
      </c>
      <c r="J29" t="s">
        <v>31</v>
      </c>
      <c r="K29" t="s">
        <v>43</v>
      </c>
      <c r="L29" t="s">
        <v>112</v>
      </c>
      <c r="M29" t="s">
        <v>191</v>
      </c>
      <c r="N29" t="s">
        <v>35</v>
      </c>
      <c r="O29" s="5">
        <v>5200</v>
      </c>
      <c r="P29" s="9">
        <v>5</v>
      </c>
      <c r="Q29" s="7">
        <v>0.09</v>
      </c>
      <c r="R29" s="5">
        <v>800</v>
      </c>
      <c r="S29" s="5">
        <v>250</v>
      </c>
      <c r="T29" t="s">
        <v>36</v>
      </c>
      <c r="U29">
        <v>2025</v>
      </c>
      <c r="V29" t="s">
        <v>37</v>
      </c>
      <c r="W29">
        <v>4</v>
      </c>
      <c r="X29">
        <v>0.15384615384615391</v>
      </c>
      <c r="Y29">
        <v>1040</v>
      </c>
    </row>
    <row r="30" spans="1:25" x14ac:dyDescent="0.3">
      <c r="A30">
        <v>29</v>
      </c>
      <c r="B30" t="s">
        <v>192</v>
      </c>
      <c r="C30" s="3">
        <v>45693</v>
      </c>
      <c r="D30" s="3">
        <v>45697</v>
      </c>
      <c r="E30" t="s">
        <v>39</v>
      </c>
      <c r="F30" t="s">
        <v>193</v>
      </c>
      <c r="G30" t="s">
        <v>28</v>
      </c>
      <c r="H30" t="s">
        <v>50</v>
      </c>
      <c r="I30" t="s">
        <v>50</v>
      </c>
      <c r="J30" t="s">
        <v>51</v>
      </c>
      <c r="K30" t="s">
        <v>32</v>
      </c>
      <c r="L30" t="s">
        <v>62</v>
      </c>
      <c r="M30" t="s">
        <v>140</v>
      </c>
      <c r="N30" t="s">
        <v>35</v>
      </c>
      <c r="O30" s="5">
        <v>21500</v>
      </c>
      <c r="P30" s="9">
        <v>3</v>
      </c>
      <c r="Q30" s="7">
        <v>0.06</v>
      </c>
      <c r="R30" s="5">
        <v>3500</v>
      </c>
      <c r="S30" s="5">
        <v>500</v>
      </c>
      <c r="T30" t="s">
        <v>36</v>
      </c>
      <c r="U30">
        <v>2025</v>
      </c>
      <c r="V30" t="s">
        <v>64</v>
      </c>
      <c r="W30">
        <v>4</v>
      </c>
      <c r="X30">
        <v>0.16279069767441859</v>
      </c>
      <c r="Y30">
        <v>7166.666666666667</v>
      </c>
    </row>
    <row r="31" spans="1:25" x14ac:dyDescent="0.3">
      <c r="A31">
        <v>30</v>
      </c>
      <c r="B31" t="s">
        <v>194</v>
      </c>
      <c r="C31" s="3">
        <v>45707</v>
      </c>
      <c r="D31" s="3">
        <v>45711</v>
      </c>
      <c r="E31" t="s">
        <v>26</v>
      </c>
      <c r="F31" t="s">
        <v>195</v>
      </c>
      <c r="G31" t="s">
        <v>41</v>
      </c>
      <c r="H31" t="s">
        <v>59</v>
      </c>
      <c r="I31" t="s">
        <v>60</v>
      </c>
      <c r="J31" t="s">
        <v>61</v>
      </c>
      <c r="K31" t="s">
        <v>43</v>
      </c>
      <c r="L31" t="s">
        <v>69</v>
      </c>
      <c r="M31" t="s">
        <v>196</v>
      </c>
      <c r="N31" t="s">
        <v>46</v>
      </c>
      <c r="O31" s="5">
        <v>4600</v>
      </c>
      <c r="P31" s="9">
        <v>22</v>
      </c>
      <c r="Q31" s="7">
        <v>0.1</v>
      </c>
      <c r="R31" s="5">
        <v>650</v>
      </c>
      <c r="S31" s="5">
        <v>250</v>
      </c>
      <c r="T31" t="s">
        <v>47</v>
      </c>
      <c r="U31">
        <v>2025</v>
      </c>
      <c r="V31" t="s">
        <v>64</v>
      </c>
      <c r="W31">
        <v>4</v>
      </c>
      <c r="X31">
        <v>0.14130434782608689</v>
      </c>
      <c r="Y31">
        <v>209.09090909090909</v>
      </c>
    </row>
    <row r="32" spans="1:25" s="20" customFormat="1" x14ac:dyDescent="0.3">
      <c r="B32" s="21"/>
      <c r="C32" s="22"/>
      <c r="D32" s="22"/>
      <c r="O32" s="23">
        <f>SUM(O2:O31)</f>
        <v>587742</v>
      </c>
      <c r="P32" s="24"/>
      <c r="Q32" s="25"/>
      <c r="R32" s="23">
        <f>SUM(R2:R31)</f>
        <v>80900</v>
      </c>
      <c r="S32" s="23">
        <f>SUM(S2:S31)</f>
        <v>17100</v>
      </c>
      <c r="X32" s="20">
        <f>O32/R32</f>
        <v>7.2650432632880095</v>
      </c>
    </row>
    <row r="34" spans="1:19" x14ac:dyDescent="0.3">
      <c r="A34" t="s">
        <v>223</v>
      </c>
    </row>
    <row r="35" spans="1:19" s="11" customFormat="1" x14ac:dyDescent="0.3">
      <c r="A35" s="11">
        <f>COUNTA(F2:F31)</f>
        <v>30</v>
      </c>
      <c r="C35" s="15"/>
      <c r="D35" s="15"/>
      <c r="O35" s="16"/>
      <c r="P35" s="17"/>
      <c r="Q35" s="18"/>
      <c r="R35" s="16"/>
      <c r="S35" s="16"/>
    </row>
    <row r="36" spans="1:19" x14ac:dyDescent="0.3">
      <c r="D36" s="26" t="s">
        <v>225</v>
      </c>
      <c r="E36" t="s">
        <v>227</v>
      </c>
      <c r="F36" t="s">
        <v>228</v>
      </c>
      <c r="G36" t="s">
        <v>229</v>
      </c>
    </row>
    <row r="37" spans="1:19" x14ac:dyDescent="0.3">
      <c r="A37" t="s">
        <v>224</v>
      </c>
      <c r="D37" s="27" t="s">
        <v>52</v>
      </c>
      <c r="E37" s="14">
        <v>149400</v>
      </c>
      <c r="F37" s="14">
        <v>18700</v>
      </c>
      <c r="G37" s="14">
        <v>8</v>
      </c>
    </row>
    <row r="38" spans="1:19" s="11" customFormat="1" x14ac:dyDescent="0.3">
      <c r="A38" s="16">
        <f>O32/A35</f>
        <v>19591.400000000001</v>
      </c>
      <c r="C38" s="15"/>
      <c r="D38" s="27" t="s">
        <v>43</v>
      </c>
      <c r="E38" s="14">
        <v>42349</v>
      </c>
      <c r="F38" s="14">
        <v>6000</v>
      </c>
      <c r="G38" s="14">
        <v>10</v>
      </c>
      <c r="O38" s="16"/>
      <c r="P38" s="17"/>
      <c r="Q38" s="18"/>
      <c r="R38" s="16"/>
      <c r="S38" s="16"/>
    </row>
    <row r="39" spans="1:19" x14ac:dyDescent="0.3">
      <c r="D39" s="27" t="s">
        <v>32</v>
      </c>
      <c r="E39" s="14">
        <v>395993</v>
      </c>
      <c r="F39" s="14">
        <v>56200</v>
      </c>
      <c r="G39" s="14">
        <v>12</v>
      </c>
    </row>
    <row r="40" spans="1:19" x14ac:dyDescent="0.3">
      <c r="D40" s="27" t="s">
        <v>226</v>
      </c>
      <c r="E40" s="14">
        <v>587742</v>
      </c>
      <c r="F40" s="14">
        <v>80900</v>
      </c>
      <c r="G40" s="14">
        <v>30</v>
      </c>
    </row>
    <row r="41" spans="1:19" x14ac:dyDescent="0.3">
      <c r="D41"/>
    </row>
    <row r="42" spans="1:19" x14ac:dyDescent="0.3">
      <c r="D42"/>
    </row>
    <row r="43" spans="1:19" x14ac:dyDescent="0.3">
      <c r="D43"/>
    </row>
    <row r="44" spans="1:19" x14ac:dyDescent="0.3">
      <c r="D44"/>
    </row>
    <row r="45" spans="1:19" x14ac:dyDescent="0.3">
      <c r="D45"/>
    </row>
    <row r="46" spans="1:19" x14ac:dyDescent="0.3">
      <c r="D46"/>
    </row>
    <row r="47" spans="1:19" x14ac:dyDescent="0.3">
      <c r="D47"/>
    </row>
    <row r="48" spans="1:19" x14ac:dyDescent="0.3">
      <c r="D48"/>
    </row>
    <row r="49" spans="4:4" x14ac:dyDescent="0.3">
      <c r="D49"/>
    </row>
    <row r="50" spans="4:4" x14ac:dyDescent="0.3">
      <c r="D50"/>
    </row>
    <row r="51" spans="4:4" x14ac:dyDescent="0.3">
      <c r="D51"/>
    </row>
    <row r="52" spans="4:4" x14ac:dyDescent="0.3">
      <c r="D52"/>
    </row>
    <row r="53" spans="4:4" x14ac:dyDescent="0.3">
      <c r="D53"/>
    </row>
    <row r="54" spans="4:4" x14ac:dyDescent="0.3">
      <c r="D54"/>
    </row>
    <row r="55" spans="4:4" x14ac:dyDescent="0.3">
      <c r="D55"/>
    </row>
    <row r="56" spans="4:4" x14ac:dyDescent="0.3">
      <c r="D56"/>
    </row>
    <row r="57" spans="4:4" x14ac:dyDescent="0.3">
      <c r="D57"/>
    </row>
    <row r="58" spans="4:4" x14ac:dyDescent="0.3">
      <c r="D58"/>
    </row>
    <row r="59" spans="4:4" x14ac:dyDescent="0.3">
      <c r="D59"/>
    </row>
    <row r="60" spans="4:4" x14ac:dyDescent="0.3">
      <c r="D60"/>
    </row>
    <row r="61" spans="4:4" x14ac:dyDescent="0.3">
      <c r="D61"/>
    </row>
    <row r="62" spans="4:4" x14ac:dyDescent="0.3">
      <c r="D62"/>
    </row>
    <row r="63" spans="4:4" x14ac:dyDescent="0.3">
      <c r="D63"/>
    </row>
    <row r="64" spans="4:4" x14ac:dyDescent="0.3">
      <c r="D64"/>
    </row>
    <row r="65" spans="4:4" x14ac:dyDescent="0.3">
      <c r="D65"/>
    </row>
    <row r="66" spans="4:4" x14ac:dyDescent="0.3">
      <c r="D66"/>
    </row>
    <row r="67" spans="4:4" x14ac:dyDescent="0.3">
      <c r="D67"/>
    </row>
    <row r="68" spans="4:4" x14ac:dyDescent="0.3">
      <c r="D68"/>
    </row>
    <row r="69" spans="4:4" x14ac:dyDescent="0.3">
      <c r="D69"/>
    </row>
    <row r="70" spans="4:4" x14ac:dyDescent="0.3">
      <c r="D70"/>
    </row>
    <row r="71" spans="4:4" x14ac:dyDescent="0.3">
      <c r="D71"/>
    </row>
    <row r="72" spans="4:4" x14ac:dyDescent="0.3">
      <c r="D72"/>
    </row>
    <row r="73" spans="4:4" x14ac:dyDescent="0.3">
      <c r="D73"/>
    </row>
    <row r="74" spans="4:4" x14ac:dyDescent="0.3">
      <c r="D74"/>
    </row>
    <row r="75" spans="4:4" x14ac:dyDescent="0.3">
      <c r="D75"/>
    </row>
    <row r="76" spans="4:4" x14ac:dyDescent="0.3">
      <c r="D76"/>
    </row>
    <row r="77" spans="4:4" x14ac:dyDescent="0.3">
      <c r="D77"/>
    </row>
    <row r="78" spans="4:4" x14ac:dyDescent="0.3">
      <c r="D78"/>
    </row>
    <row r="79" spans="4:4" x14ac:dyDescent="0.3">
      <c r="D79"/>
    </row>
    <row r="80" spans="4:4" x14ac:dyDescent="0.3">
      <c r="D80"/>
    </row>
    <row r="81" spans="4:4" x14ac:dyDescent="0.3">
      <c r="D81"/>
    </row>
    <row r="82" spans="4:4" x14ac:dyDescent="0.3">
      <c r="D82"/>
    </row>
    <row r="83" spans="4:4" x14ac:dyDescent="0.3">
      <c r="D83"/>
    </row>
    <row r="84" spans="4:4" x14ac:dyDescent="0.3">
      <c r="D84"/>
    </row>
    <row r="85" spans="4:4" x14ac:dyDescent="0.3">
      <c r="D85"/>
    </row>
    <row r="86" spans="4:4" x14ac:dyDescent="0.3">
      <c r="D86"/>
    </row>
    <row r="87" spans="4:4" x14ac:dyDescent="0.3">
      <c r="D87"/>
    </row>
    <row r="88" spans="4:4" x14ac:dyDescent="0.3">
      <c r="D88"/>
    </row>
    <row r="89" spans="4:4" x14ac:dyDescent="0.3">
      <c r="D89"/>
    </row>
    <row r="90" spans="4:4" x14ac:dyDescent="0.3">
      <c r="D90"/>
    </row>
    <row r="91" spans="4:4" x14ac:dyDescent="0.3">
      <c r="D91"/>
    </row>
    <row r="92" spans="4:4" x14ac:dyDescent="0.3">
      <c r="D92"/>
    </row>
    <row r="93" spans="4:4" x14ac:dyDescent="0.3">
      <c r="D93"/>
    </row>
    <row r="94" spans="4:4" x14ac:dyDescent="0.3">
      <c r="D94"/>
    </row>
    <row r="95" spans="4:4" x14ac:dyDescent="0.3">
      <c r="D95"/>
    </row>
    <row r="96" spans="4:4" x14ac:dyDescent="0.3">
      <c r="D96"/>
    </row>
    <row r="97" spans="4:4" x14ac:dyDescent="0.3">
      <c r="D97"/>
    </row>
    <row r="98" spans="4:4" x14ac:dyDescent="0.3">
      <c r="D98"/>
    </row>
    <row r="99" spans="4:4" x14ac:dyDescent="0.3">
      <c r="D99"/>
    </row>
    <row r="100" spans="4:4" x14ac:dyDescent="0.3">
      <c r="D100"/>
    </row>
    <row r="101" spans="4:4" x14ac:dyDescent="0.3">
      <c r="D101"/>
    </row>
    <row r="102" spans="4:4" x14ac:dyDescent="0.3">
      <c r="D102"/>
    </row>
    <row r="103" spans="4:4" x14ac:dyDescent="0.3">
      <c r="D103"/>
    </row>
    <row r="104" spans="4:4" x14ac:dyDescent="0.3">
      <c r="D104"/>
    </row>
    <row r="105" spans="4:4" x14ac:dyDescent="0.3">
      <c r="D105"/>
    </row>
    <row r="106" spans="4:4" x14ac:dyDescent="0.3">
      <c r="D106"/>
    </row>
    <row r="107" spans="4:4" x14ac:dyDescent="0.3">
      <c r="D107"/>
    </row>
    <row r="108" spans="4:4" x14ac:dyDescent="0.3">
      <c r="D108"/>
    </row>
    <row r="109" spans="4:4" x14ac:dyDescent="0.3">
      <c r="D109"/>
    </row>
    <row r="110" spans="4:4" x14ac:dyDescent="0.3">
      <c r="D110"/>
    </row>
    <row r="111" spans="4:4" x14ac:dyDescent="0.3">
      <c r="D111"/>
    </row>
    <row r="112" spans="4:4" x14ac:dyDescent="0.3">
      <c r="D112"/>
    </row>
    <row r="113" spans="4:4" x14ac:dyDescent="0.3">
      <c r="D113"/>
    </row>
    <row r="114" spans="4:4" x14ac:dyDescent="0.3">
      <c r="D114"/>
    </row>
    <row r="115" spans="4:4" x14ac:dyDescent="0.3">
      <c r="D115"/>
    </row>
    <row r="116" spans="4:4" x14ac:dyDescent="0.3">
      <c r="D116"/>
    </row>
    <row r="117" spans="4:4" x14ac:dyDescent="0.3">
      <c r="D117"/>
    </row>
    <row r="118" spans="4:4" x14ac:dyDescent="0.3">
      <c r="D118"/>
    </row>
    <row r="119" spans="4:4" x14ac:dyDescent="0.3">
      <c r="D119"/>
    </row>
    <row r="120" spans="4:4" x14ac:dyDescent="0.3">
      <c r="D120"/>
    </row>
    <row r="121" spans="4:4" x14ac:dyDescent="0.3">
      <c r="D121"/>
    </row>
    <row r="122" spans="4:4" x14ac:dyDescent="0.3">
      <c r="D122"/>
    </row>
    <row r="123" spans="4:4" x14ac:dyDescent="0.3">
      <c r="D123"/>
    </row>
    <row r="124" spans="4:4" x14ac:dyDescent="0.3">
      <c r="D124"/>
    </row>
    <row r="125" spans="4:4" x14ac:dyDescent="0.3">
      <c r="D125"/>
    </row>
    <row r="126" spans="4:4" x14ac:dyDescent="0.3">
      <c r="D126"/>
    </row>
    <row r="127" spans="4:4" x14ac:dyDescent="0.3">
      <c r="D127"/>
    </row>
  </sheetData>
  <conditionalFormatting sqref="B1:D36 R1 R32:R1048576 B54:D1048576 B37:C53">
    <cfRule type="expression" dxfId="19" priority="12">
      <formula>ISBLANK(TRIM(CELL_REFERENCE))</formula>
    </cfRule>
  </conditionalFormatting>
  <conditionalFormatting sqref="B1:D36 R1 R32:R1048576 B54:D1048576 B37:C53">
    <cfRule type="expression" dxfId="18" priority="11">
      <formula>ISBLANK(TRIM(CELL_REFERENCE))</formula>
    </cfRule>
  </conditionalFormatting>
  <conditionalFormatting sqref="R1 R32:R1048576">
    <cfRule type="cellIs" dxfId="17" priority="10" operator="lessThan">
      <formula>0</formula>
    </cfRule>
  </conditionalFormatting>
  <conditionalFormatting sqref="O2:O31">
    <cfRule type="top10" dxfId="16" priority="6" rank="10"/>
    <cfRule type="top10" dxfId="15" priority="3" percent="1" bottom="1" rank="1"/>
  </conditionalFormatting>
  <conditionalFormatting sqref="Q1:Q1048576">
    <cfRule type="top10" dxfId="14" priority="4" percent="1" rank="1"/>
  </conditionalFormatting>
  <conditionalFormatting sqref="R2:R31">
    <cfRule type="colorScale" priority="2">
      <colorScale>
        <cfvo type="min"/>
        <cfvo type="percentile" val="50"/>
        <cfvo type="max"/>
        <color rgb="FFF8696B"/>
        <color rgb="FFFFEB84"/>
        <color rgb="FF63BE7B"/>
      </colorScale>
    </cfRule>
  </conditionalFormatting>
  <conditionalFormatting sqref="W2:W1048576">
    <cfRule type="cellIs" dxfId="7" priority="1" operator="greaterThan">
      <formula>7</formula>
    </cfRule>
  </conditionalFormatting>
  <pageMargins left="0.75" right="0.75" top="1" bottom="1" header="0.5" footer="0.5"/>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heetViews>
  <sheetFormatPr defaultRowHeight="14.4" x14ac:dyDescent="0.3"/>
  <sheetData>
    <row r="1" spans="1:2" x14ac:dyDescent="0.3">
      <c r="A1" s="1" t="s">
        <v>197</v>
      </c>
      <c r="B1" s="1" t="s">
        <v>198</v>
      </c>
    </row>
    <row r="2" spans="1:2" x14ac:dyDescent="0.3">
      <c r="A2" t="s">
        <v>0</v>
      </c>
      <c r="B2" t="s">
        <v>199</v>
      </c>
    </row>
    <row r="3" spans="1:2" x14ac:dyDescent="0.3">
      <c r="A3" t="s">
        <v>1</v>
      </c>
      <c r="B3" t="s">
        <v>200</v>
      </c>
    </row>
    <row r="4" spans="1:2" x14ac:dyDescent="0.3">
      <c r="A4" t="s">
        <v>2</v>
      </c>
      <c r="B4" t="s">
        <v>201</v>
      </c>
    </row>
    <row r="5" spans="1:2" x14ac:dyDescent="0.3">
      <c r="A5" t="s">
        <v>3</v>
      </c>
      <c r="B5" t="s">
        <v>202</v>
      </c>
    </row>
    <row r="6" spans="1:2" x14ac:dyDescent="0.3">
      <c r="A6" t="s">
        <v>4</v>
      </c>
      <c r="B6" t="s">
        <v>203</v>
      </c>
    </row>
    <row r="7" spans="1:2" x14ac:dyDescent="0.3">
      <c r="A7" t="s">
        <v>5</v>
      </c>
      <c r="B7" t="s">
        <v>204</v>
      </c>
    </row>
    <row r="8" spans="1:2" x14ac:dyDescent="0.3">
      <c r="A8" t="s">
        <v>6</v>
      </c>
      <c r="B8" t="s">
        <v>205</v>
      </c>
    </row>
    <row r="9" spans="1:2" x14ac:dyDescent="0.3">
      <c r="A9" t="s">
        <v>7</v>
      </c>
      <c r="B9" t="s">
        <v>7</v>
      </c>
    </row>
    <row r="10" spans="1:2" x14ac:dyDescent="0.3">
      <c r="A10" t="s">
        <v>8</v>
      </c>
      <c r="B10" t="s">
        <v>8</v>
      </c>
    </row>
    <row r="11" spans="1:2" x14ac:dyDescent="0.3">
      <c r="A11" t="s">
        <v>9</v>
      </c>
      <c r="B11" t="s">
        <v>206</v>
      </c>
    </row>
    <row r="12" spans="1:2" x14ac:dyDescent="0.3">
      <c r="A12" t="s">
        <v>10</v>
      </c>
      <c r="B12" t="s">
        <v>207</v>
      </c>
    </row>
    <row r="13" spans="1:2" x14ac:dyDescent="0.3">
      <c r="A13" t="s">
        <v>11</v>
      </c>
      <c r="B13" t="s">
        <v>208</v>
      </c>
    </row>
    <row r="14" spans="1:2" x14ac:dyDescent="0.3">
      <c r="A14" t="s">
        <v>12</v>
      </c>
      <c r="B14" t="s">
        <v>209</v>
      </c>
    </row>
    <row r="15" spans="1:2" x14ac:dyDescent="0.3">
      <c r="A15" t="s">
        <v>13</v>
      </c>
      <c r="B15" t="s">
        <v>210</v>
      </c>
    </row>
    <row r="16" spans="1:2" x14ac:dyDescent="0.3">
      <c r="A16" t="s">
        <v>14</v>
      </c>
      <c r="B16" t="s">
        <v>211</v>
      </c>
    </row>
    <row r="17" spans="1:2" x14ac:dyDescent="0.3">
      <c r="A17" t="s">
        <v>15</v>
      </c>
      <c r="B17" t="s">
        <v>212</v>
      </c>
    </row>
    <row r="18" spans="1:2" x14ac:dyDescent="0.3">
      <c r="A18" t="s">
        <v>16</v>
      </c>
      <c r="B18" t="s">
        <v>213</v>
      </c>
    </row>
    <row r="19" spans="1:2" x14ac:dyDescent="0.3">
      <c r="A19" t="s">
        <v>17</v>
      </c>
      <c r="B19" t="s">
        <v>214</v>
      </c>
    </row>
    <row r="20" spans="1:2" x14ac:dyDescent="0.3">
      <c r="A20" t="s">
        <v>18</v>
      </c>
      <c r="B20" t="s">
        <v>215</v>
      </c>
    </row>
    <row r="21" spans="1:2" x14ac:dyDescent="0.3">
      <c r="A21" t="s">
        <v>19</v>
      </c>
      <c r="B21" t="s">
        <v>216</v>
      </c>
    </row>
    <row r="22" spans="1:2" x14ac:dyDescent="0.3">
      <c r="A22" t="s">
        <v>20</v>
      </c>
      <c r="B22" t="s">
        <v>217</v>
      </c>
    </row>
    <row r="23" spans="1:2" x14ac:dyDescent="0.3">
      <c r="A23" t="s">
        <v>21</v>
      </c>
      <c r="B23" t="s">
        <v>218</v>
      </c>
    </row>
    <row r="24" spans="1:2" x14ac:dyDescent="0.3">
      <c r="A24" t="s">
        <v>22</v>
      </c>
      <c r="B24" t="s">
        <v>219</v>
      </c>
    </row>
    <row r="25" spans="1:2" x14ac:dyDescent="0.3">
      <c r="A25" t="s">
        <v>23</v>
      </c>
      <c r="B25" t="s">
        <v>220</v>
      </c>
    </row>
    <row r="26" spans="1:2" x14ac:dyDescent="0.3">
      <c r="A26" t="s">
        <v>24</v>
      </c>
      <c r="B26" t="s">
        <v>221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Superstore 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Arti Thakur</cp:lastModifiedBy>
  <dcterms:created xsi:type="dcterms:W3CDTF">2026-09-11T01:20:32Z</dcterms:created>
  <dcterms:modified xsi:type="dcterms:W3CDTF">2026-09-11T02:42:41Z</dcterms:modified>
</cp:coreProperties>
</file>